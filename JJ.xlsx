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unciados" sheetId="1" state="visible" r:id="rId3"/>
    <sheet name="Catálogo" sheetId="2" state="visible" r:id="rId4"/>
    <sheet name="Ventas" sheetId="3" state="visible" r:id="rId5"/>
    <sheet name="E2_Resumen" sheetId="4" state="visible" r:id="rId6"/>
    <sheet name="E3_Comisiones" sheetId="5" state="visible" r:id="rId7"/>
    <sheet name="Empleados" sheetId="6" state="visible" r:id="rId8"/>
    <sheet name="Clientes" sheetId="7" state="visible" r:id="rId9"/>
    <sheet name="E6_Ranking" sheetId="8" state="visible" r:id="rId10"/>
    <sheet name="Festivos" sheetId="9" state="visible" r:id="rId11"/>
    <sheet name="Pedidos" sheetId="10" state="visible" r:id="rId12"/>
    <sheet name="E9_Panel" sheetId="11" state="visible" r:id="rId13"/>
    <sheet name="E10_Credito"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<sst xmlns="http://schemas.openxmlformats.org/spreadsheetml/2006/main" count="662" uniqueCount="355">
  <si>
    <t xml:space="preserve">Recuperación – Excel</t>
  </si>
  <si>
    <t xml:space="preserve">Diez ejercicios. Trabaja SOLO en las celdas amarillas de cada hoja. Las fórmulas deben quedar a la vista: un valor escrito a mano vale 0.</t>
  </si>
  <si>
    <t xml:space="preserve">Leyenda:</t>
  </si>
  <si>
    <t xml:space="preserve">Celda a completar</t>
  </si>
  <si>
    <t xml:space="preserve">Encabezado naranja = columna que debes calcular</t>
  </si>
  <si>
    <t xml:space="preserve">#</t>
  </si>
  <si>
    <t xml:space="preserve">Título</t>
  </si>
  <si>
    <t xml:space="preserve">Hoja de trabajo</t>
  </si>
  <si>
    <t xml:space="preserve">Funciones sugeridas</t>
  </si>
  <si>
    <t xml:space="preserve">Dificultad</t>
  </si>
  <si>
    <t xml:space="preserve">Enunciado</t>
  </si>
  <si>
    <t xml:space="preserve">Buscar y calcular en Ventas</t>
  </si>
  <si>
    <t xml:space="preserve">Ventas</t>
  </si>
  <si>
    <t xml:space="preserve">BUSCARX / INDICE+COINCIDIR, SI.ERROR</t>
  </si>
  <si>
    <t xml:space="preserve">Media</t>
  </si>
  <si>
    <t xml:space="preserve">Completa las columnas amarillas de la hoja Ventas. 'Producto' y 'Precio unitario' salen del Catálogo a partir del código. Ojo: hay códigos que no existen en el catálogo; en esos casos la fila debe mostrar 'CÓDIGO NO EXISTE' en Producto y 0 en precio, sin ningún #N/D a la vista. 'Total' = Cantidad × Precio aplicando el descuento de la categoría del producto (tabla de descuentos en la hoja Catálogo). Una sola fórmula por columna, arrastrada hasta el final.</t>
  </si>
  <si>
    <t xml:space="preserve">Matriz región × mes</t>
  </si>
  <si>
    <t xml:space="preserve">E2_Resumen</t>
  </si>
  <si>
    <t xml:space="preserve">SUMAR.SI.CONJUNTO, fechas, referencias mixtas</t>
  </si>
  <si>
    <t xml:space="preserve">Media-Alta</t>
  </si>
  <si>
    <t xml:space="preserve">Construye la matriz de ventas totales por región (filas) y mes (columnas) usando la columna Total de Ventas. Condición: escribes UNA sola fórmula en la celda superior izquierda y la copias a toda la matriz sin editarla (usa bien los $). Agrega totales por fila y por columna, y una columna con el % que representa cada región sobre el total general. Los meses del encabezado son fechas, no texto.</t>
  </si>
  <si>
    <t xml:space="preserve">Comisiones escalonadas y bono</t>
  </si>
  <si>
    <t xml:space="preserve">E3_Comisiones</t>
  </si>
  <si>
    <t xml:space="preserve">BUSCARV aproximado, SUMAPRODUCTO, SI</t>
  </si>
  <si>
    <t xml:space="preserve">Alta</t>
  </si>
  <si>
    <t xml:space="preserve">Para cada vendedor calcula: venta total del semestre, % de comisión según la tabla de tramos (búsqueda aproximada, sin SI anidados), valor de la comisión y el bono. El bono es de $500.000 solo si el vendedor superó la meta mensual en al menos 4 de los 6 meses. Resuelve 'meses que superó la meta' con una sola fórmula por vendedor, sin columnas auxiliares (pista: SUMAPRODUCTO o una matriz dinámica).</t>
  </si>
  <si>
    <t xml:space="preserve">Antigüedad y prima</t>
  </si>
  <si>
    <t xml:space="preserve">Empleados</t>
  </si>
  <si>
    <t xml:space="preserve">SIFECHA, fechas, concatenación, SI.CONJUNTO</t>
  </si>
  <si>
    <t xml:space="preserve">Tomando como fecha de corte la celda indicada en la hoja (no uses HOY()), calcula la antigüedad como texto con el formato '4 años y 7 meses' (si son 0 años debe decir solo '7 meses'). Luego calcula la prima: 0% con menos de 2 años, 5% de 2 a menos de 5, 10% de 5 a menos de 10 y 15% desde 10. Finalmente, la fecha del próximo aniversario laboral posterior a la fecha de corte.</t>
  </si>
  <si>
    <t xml:space="preserve">Limpieza de clientes</t>
  </si>
  <si>
    <t xml:space="preserve">Clientes</t>
  </si>
  <si>
    <t xml:space="preserve">ESPACIOS, NOMPROPIO, EXTRAE, HALLAR, SUSTITUIR, CONTAR.SI</t>
  </si>
  <si>
    <t xml:space="preserve">Los datos de clientes llegaron sucios. Completa: nombre limpio (sin espacios de más y con mayúscula inicial en cada palabra), primer apellido (segunda palabra del nombre limpio), usuario del correo (lo que va antes de @), dominio (lo que va después de @, en minúscula), teléfono normalizado (solo los 10 dígitos, sin guiones, espacios, paréntesis ni +57) y una columna 'Duplicado' que diga SÍ cuando el correo aparece más de una vez sin importar mayúsculas o espacios.</t>
  </si>
  <si>
    <t xml:space="preserve">Ranking con empates</t>
  </si>
  <si>
    <t xml:space="preserve">E6_Ranking</t>
  </si>
  <si>
    <t xml:space="preserve">K.ESIMO.MAYOR, INDICE, COINCIDIR / ORDENAR, FILTRAR</t>
  </si>
  <si>
    <t xml:space="preserve">Usando la hoja Ventas, arma el Top 3 de vendedores por venta total y el Top 3 de productos por unidades vendidas. Debe funcionar aunque haya empates (dos vendedores con el mismo total no pueden aparecer como el mismo nombre repetido). Si cambio un dato en Ventas, el ranking se actualiza solo.</t>
  </si>
  <si>
    <t xml:space="preserve">Entregas y días hábiles</t>
  </si>
  <si>
    <t xml:space="preserve">Pedidos</t>
  </si>
  <si>
    <t xml:space="preserve">DIA.LAB, DIAS.LAB, festivos, SI anidado</t>
  </si>
  <si>
    <t xml:space="preserve">Para cada pedido calcula la fecha límite de entrega sumando el plazo en días hábiles a la fecha de pedido, excluyendo sábados, domingos y los festivos de la hoja Festivos. Luego los días hábiles que tardó la entrega real y el estado: 'Pendiente' si no hay fecha de entrega, 'Retrasado' si se entregó después de la fecha límite, 'A tiempo' en otro caso. Al final, cuenta cuántos pedidos retrasados tiene cada región.</t>
  </si>
  <si>
    <t xml:space="preserve">Controles visuales</t>
  </si>
  <si>
    <t xml:space="preserve">Catálogo y Ventas</t>
  </si>
  <si>
    <t xml:space="preserve">Formato condicional con fórmula, validación de datos</t>
  </si>
  <si>
    <t xml:space="preserve">En Catálogo: resalta en rojo la FILA COMPLETA de los productos cuyo stock está por debajo del stock mínimo y en amarillo los que están a menos de 5 unidades de llegar al mínimo (usa formato condicional con fórmula, no el de reglas predefinidas). En Ventas: aplica validación de datos a la columna Código para que solo se puedan elegir códigos del Catálogo desde una lista, con un mensaje de error personalizado.</t>
  </si>
  <si>
    <t xml:space="preserve">Panel interactivo</t>
  </si>
  <si>
    <t xml:space="preserve">E9_Panel</t>
  </si>
  <si>
    <t xml:space="preserve">Validación de datos, SUMAR.SI.CONJUNTO, INDICE/COINCIDIR, formato condicional</t>
  </si>
  <si>
    <t xml:space="preserve">Crea dos listas desplegables: vendedor y mes. Según lo que se elija, el panel debe mostrar: venta total, unidades vendidas, número de transacciones, ticket promedio, producto más vendido (en unidades) y la variación % frente al mes anterior. Si el mes elegido es enero, la variación debe mostrar 'N/A'. Pon la variación en verde si es positiva y en rojo si es negativa.</t>
  </si>
  <si>
    <t xml:space="preserve">Tabla de amortización</t>
  </si>
  <si>
    <t xml:space="preserve">E10_Credito</t>
  </si>
  <si>
    <t xml:space="preserve">PAGO, tasas equivalentes, referencias absolutas</t>
  </si>
  <si>
    <t xml:space="preserve">Con los datos del crédito de la hoja, convierte la tasa efectiva anual a tasa mensual equivalente (no dividas entre 12). Calcula la cuota fija con PAGO y construye la tabla completa: cuota, interés, abono a capital y saldo. El saldo del último mes debe dar 0. Después, en el escenario B, simula un abono extraordinario en el mes indicado y calcula cuántos meses se ahorra y cuánto dinero en intereses.</t>
  </si>
  <si>
    <t xml:space="preserve">Catálogo de productos</t>
  </si>
  <si>
    <t xml:space="preserve">Datos base para los ejercicios 1 y 8.</t>
  </si>
  <si>
    <t xml:space="preserve">Código</t>
  </si>
  <si>
    <t xml:space="preserve">Producto</t>
  </si>
  <si>
    <t xml:space="preserve">Categoría</t>
  </si>
  <si>
    <t xml:space="preserve">Precio unitario</t>
  </si>
  <si>
    <t xml:space="preserve">Stock</t>
  </si>
  <si>
    <t xml:space="preserve">Stock mínimo</t>
  </si>
  <si>
    <t xml:space="preserve">Descuentos por categoría</t>
  </si>
  <si>
    <t xml:space="preserve">P-101</t>
  </si>
  <si>
    <t xml:space="preserve">Teclado mecánico</t>
  </si>
  <si>
    <t xml:space="preserve">Periféricos</t>
  </si>
  <si>
    <t xml:space="preserve">Descuento</t>
  </si>
  <si>
    <t xml:space="preserve">P-102</t>
  </si>
  <si>
    <t xml:space="preserve">Mouse inalámbrico</t>
  </si>
  <si>
    <t xml:space="preserve">P-103</t>
  </si>
  <si>
    <t xml:space="preserve">Monitor 24"</t>
  </si>
  <si>
    <t xml:space="preserve">Pantallas</t>
  </si>
  <si>
    <t xml:space="preserve">P-104</t>
  </si>
  <si>
    <t xml:space="preserve">Monitor 27"</t>
  </si>
  <si>
    <t xml:space="preserve">Equipos</t>
  </si>
  <si>
    <t xml:space="preserve">P-105</t>
  </si>
  <si>
    <t xml:space="preserve">Portátil 14"</t>
  </si>
  <si>
    <t xml:space="preserve">Audio</t>
  </si>
  <si>
    <t xml:space="preserve">P-106</t>
  </si>
  <si>
    <t xml:space="preserve">Portátil 16"</t>
  </si>
  <si>
    <t xml:space="preserve">Almacenamiento</t>
  </si>
  <si>
    <t xml:space="preserve">P-107</t>
  </si>
  <si>
    <t xml:space="preserve">Diadema USB</t>
  </si>
  <si>
    <t xml:space="preserve">Accesorios</t>
  </si>
  <si>
    <t xml:space="preserve">P-108</t>
  </si>
  <si>
    <t xml:space="preserve">Parlantes 2.1</t>
  </si>
  <si>
    <t xml:space="preserve">P-109</t>
  </si>
  <si>
    <t xml:space="preserve">Disco SSD 1TB</t>
  </si>
  <si>
    <t xml:space="preserve">P-110</t>
  </si>
  <si>
    <t xml:space="preserve">Memoria USB 128GB</t>
  </si>
  <si>
    <t xml:space="preserve">P-111</t>
  </si>
  <si>
    <t xml:space="preserve">Cámara web HD</t>
  </si>
  <si>
    <t xml:space="preserve">P-112</t>
  </si>
  <si>
    <t xml:space="preserve">Base refrigerante</t>
  </si>
  <si>
    <t xml:space="preserve">Registro de ventas – primer semestre 2026</t>
  </si>
  <si>
    <t xml:space="preserve">Ejercicio 1 (columnas naranjas). También es la fuente de los ejercicios 2, 3, 6 y 9.</t>
  </si>
  <si>
    <t xml:space="preserve">ID</t>
  </si>
  <si>
    <t xml:space="preserve">Fecha</t>
  </si>
  <si>
    <t xml:space="preserve">Vendedor</t>
  </si>
  <si>
    <t xml:space="preserve">Región</t>
  </si>
  <si>
    <t xml:space="preserve">Cantidad</t>
  </si>
  <si>
    <t xml:space="preserve">Total</t>
  </si>
  <si>
    <t xml:space="preserve">V-001</t>
  </si>
  <si>
    <t xml:space="preserve">Andrés Ruiz</t>
  </si>
  <si>
    <t xml:space="preserve">Caribe</t>
  </si>
  <si>
    <t xml:space="preserve">V-002</t>
  </si>
  <si>
    <t xml:space="preserve">Felipe Rojas</t>
  </si>
  <si>
    <t xml:space="preserve">Andina</t>
  </si>
  <si>
    <t xml:space="preserve">V-003</t>
  </si>
  <si>
    <t xml:space="preserve">V-004</t>
  </si>
  <si>
    <t xml:space="preserve">Laura Gómez</t>
  </si>
  <si>
    <t xml:space="preserve">V-005</t>
  </si>
  <si>
    <t xml:space="preserve">V-006</t>
  </si>
  <si>
    <t xml:space="preserve">V-007</t>
  </si>
  <si>
    <t xml:space="preserve">Valentina Díaz</t>
  </si>
  <si>
    <t xml:space="preserve">Orinoquía</t>
  </si>
  <si>
    <t xml:space="preserve">V-008</t>
  </si>
  <si>
    <t xml:space="preserve">V-009</t>
  </si>
  <si>
    <t xml:space="preserve">V-010</t>
  </si>
  <si>
    <t xml:space="preserve">V-011</t>
  </si>
  <si>
    <t xml:space="preserve">V-012</t>
  </si>
  <si>
    <t xml:space="preserve">V-013</t>
  </si>
  <si>
    <t xml:space="preserve">V-014</t>
  </si>
  <si>
    <t xml:space="preserve">V-015</t>
  </si>
  <si>
    <t xml:space="preserve">V-016</t>
  </si>
  <si>
    <t xml:space="preserve">V-017</t>
  </si>
  <si>
    <t xml:space="preserve">V-018</t>
  </si>
  <si>
    <t xml:space="preserve">V-019</t>
  </si>
  <si>
    <t xml:space="preserve">Camila Torres</t>
  </si>
  <si>
    <t xml:space="preserve">Pacífico</t>
  </si>
  <si>
    <t xml:space="preserve">V-020</t>
  </si>
  <si>
    <t xml:space="preserve">V-021</t>
  </si>
  <si>
    <t xml:space="preserve">V-022</t>
  </si>
  <si>
    <t xml:space="preserve">V-023</t>
  </si>
  <si>
    <t xml:space="preserve">V-024</t>
  </si>
  <si>
    <t xml:space="preserve">V-025</t>
  </si>
  <si>
    <t xml:space="preserve">V-026</t>
  </si>
  <si>
    <t xml:space="preserve">V-027</t>
  </si>
  <si>
    <t xml:space="preserve">P-205</t>
  </si>
  <si>
    <t xml:space="preserve">V-028</t>
  </si>
  <si>
    <t xml:space="preserve">V-029</t>
  </si>
  <si>
    <t xml:space="preserve">V-030</t>
  </si>
  <si>
    <t xml:space="preserve">V-031</t>
  </si>
  <si>
    <t xml:space="preserve">V-032</t>
  </si>
  <si>
    <t xml:space="preserve">V-033</t>
  </si>
  <si>
    <t xml:space="preserve">V-034</t>
  </si>
  <si>
    <t xml:space="preserve">V-035</t>
  </si>
  <si>
    <t xml:space="preserve">V-036</t>
  </si>
  <si>
    <t xml:space="preserve">V-037</t>
  </si>
  <si>
    <t xml:space="preserve">V-038</t>
  </si>
  <si>
    <t xml:space="preserve">V-039</t>
  </si>
  <si>
    <t xml:space="preserve">V-040</t>
  </si>
  <si>
    <t xml:space="preserve">V-041</t>
  </si>
  <si>
    <t xml:space="preserve">V-042</t>
  </si>
  <si>
    <t xml:space="preserve">V-043</t>
  </si>
  <si>
    <t xml:space="preserve">V-044</t>
  </si>
  <si>
    <t xml:space="preserve">V-045</t>
  </si>
  <si>
    <t xml:space="preserve">V-046</t>
  </si>
  <si>
    <t xml:space="preserve">V-047</t>
  </si>
  <si>
    <t xml:space="preserve">V-048</t>
  </si>
  <si>
    <t xml:space="preserve">V-049</t>
  </si>
  <si>
    <t xml:space="preserve">V-050</t>
  </si>
  <si>
    <t xml:space="preserve">V-051</t>
  </si>
  <si>
    <t xml:space="preserve">P-199</t>
  </si>
  <si>
    <t xml:space="preserve">V-052</t>
  </si>
  <si>
    <t xml:space="preserve">V-053</t>
  </si>
  <si>
    <t xml:space="preserve">V-054</t>
  </si>
  <si>
    <t xml:space="preserve">V-055</t>
  </si>
  <si>
    <t xml:space="preserve">V-056</t>
  </si>
  <si>
    <t xml:space="preserve">V-057</t>
  </si>
  <si>
    <t xml:space="preserve">V-058</t>
  </si>
  <si>
    <t xml:space="preserve">V-059</t>
  </si>
  <si>
    <t xml:space="preserve">V-060</t>
  </si>
  <si>
    <t xml:space="preserve">V-061</t>
  </si>
  <si>
    <t xml:space="preserve">V-062</t>
  </si>
  <si>
    <t xml:space="preserve">V-063</t>
  </si>
  <si>
    <t xml:space="preserve">V-064</t>
  </si>
  <si>
    <t xml:space="preserve">V-065</t>
  </si>
  <si>
    <t xml:space="preserve">V-066</t>
  </si>
  <si>
    <t xml:space="preserve">V-067</t>
  </si>
  <si>
    <t xml:space="preserve">V-068</t>
  </si>
  <si>
    <t xml:space="preserve">V-069</t>
  </si>
  <si>
    <t xml:space="preserve">V-070</t>
  </si>
  <si>
    <t xml:space="preserve">V-071</t>
  </si>
  <si>
    <t xml:space="preserve">V-072</t>
  </si>
  <si>
    <t xml:space="preserve">V-073</t>
  </si>
  <si>
    <t xml:space="preserve">V-074</t>
  </si>
  <si>
    <t xml:space="preserve">V-075</t>
  </si>
  <si>
    <t xml:space="preserve">V-076</t>
  </si>
  <si>
    <t xml:space="preserve">V-077</t>
  </si>
  <si>
    <t xml:space="preserve">V-078</t>
  </si>
  <si>
    <t xml:space="preserve">V-079</t>
  </si>
  <si>
    <t xml:space="preserve">V-080</t>
  </si>
  <si>
    <t xml:space="preserve">Ejercicio 2 – Ventas por región y mes</t>
  </si>
  <si>
    <t xml:space="preserve">Una sola fórmula en B5, copiada a toda la matriz.</t>
  </si>
  <si>
    <t xml:space="preserve">% del total</t>
  </si>
  <si>
    <t xml:space="preserve">Ejercicio 3 – Comisiones del semestre</t>
  </si>
  <si>
    <t xml:space="preserve">Meta mensual por vendedor:</t>
  </si>
  <si>
    <t xml:space="preserve">Venta semestre</t>
  </si>
  <si>
    <t xml:space="preserve">% comisión</t>
  </si>
  <si>
    <t xml:space="preserve">Comisión</t>
  </si>
  <si>
    <t xml:space="preserve">Meses sobre la meta</t>
  </si>
  <si>
    <t xml:space="preserve">Bono</t>
  </si>
  <si>
    <t xml:space="preserve">Total a pagar</t>
  </si>
  <si>
    <t xml:space="preserve">Tabla de tramos</t>
  </si>
  <si>
    <t xml:space="preserve">Venta desde</t>
  </si>
  <si>
    <t xml:space="preserve">Ejercicio 4 – Antigüedad y prima</t>
  </si>
  <si>
    <t xml:space="preserve">Fecha de corte:</t>
  </si>
  <si>
    <t xml:space="preserve">Nombre</t>
  </si>
  <si>
    <t xml:space="preserve">Cargo</t>
  </si>
  <si>
    <t xml:space="preserve">Fecha de ingreso</t>
  </si>
  <si>
    <t xml:space="preserve">Salario base</t>
  </si>
  <si>
    <t xml:space="preserve">Antigüedad (texto)</t>
  </si>
  <si>
    <t xml:space="preserve">% prima</t>
  </si>
  <si>
    <t xml:space="preserve">Valor prima</t>
  </si>
  <si>
    <t xml:space="preserve">Próximo aniversario</t>
  </si>
  <si>
    <t xml:space="preserve">Sofía Márquez</t>
  </si>
  <si>
    <t xml:space="preserve">Analista</t>
  </si>
  <si>
    <t xml:space="preserve">Julián Herrera</t>
  </si>
  <si>
    <t xml:space="preserve">Coordinador</t>
  </si>
  <si>
    <t xml:space="preserve">Daniela Pardo</t>
  </si>
  <si>
    <t xml:space="preserve">Auxiliar</t>
  </si>
  <si>
    <t xml:space="preserve">Mateo Castillo</t>
  </si>
  <si>
    <t xml:space="preserve">Desarrollador</t>
  </si>
  <si>
    <t xml:space="preserve">Isabella Mora</t>
  </si>
  <si>
    <t xml:space="preserve">Gerente</t>
  </si>
  <si>
    <t xml:space="preserve">Samuel Vargas</t>
  </si>
  <si>
    <t xml:space="preserve">Mariana León</t>
  </si>
  <si>
    <t xml:space="preserve">Diseñadora</t>
  </si>
  <si>
    <t xml:space="preserve">Tomás Ríos</t>
  </si>
  <si>
    <t xml:space="preserve">Gabriela Sánchez</t>
  </si>
  <si>
    <t xml:space="preserve">Desarrolladora</t>
  </si>
  <si>
    <t xml:space="preserve">Nicolás Peña</t>
  </si>
  <si>
    <t xml:space="preserve">Ejercicio 5 – Limpieza de clientes</t>
  </si>
  <si>
    <t xml:space="preserve">Nombre (original)</t>
  </si>
  <si>
    <t xml:space="preserve">Correo (original)</t>
  </si>
  <si>
    <t xml:space="preserve">Teléfono (original)</t>
  </si>
  <si>
    <t xml:space="preserve">Nombre limpio</t>
  </si>
  <si>
    <t xml:space="preserve">Primer apellido</t>
  </si>
  <si>
    <t xml:space="preserve">Usuario</t>
  </si>
  <si>
    <t xml:space="preserve">Dominio</t>
  </si>
  <si>
    <t xml:space="preserve">Teléfono normalizado</t>
  </si>
  <si>
    <t xml:space="preserve">Duplicado</t>
  </si>
  <si>
    <t xml:space="preserve">  juan   PÉREZ gómez</t>
  </si>
  <si>
    <t xml:space="preserve">juan.perez@Gmail.com</t>
  </si>
  <si>
    <t xml:space="preserve">300-123 4567</t>
  </si>
  <si>
    <t xml:space="preserve">maría fernanda  LÓPEZ</t>
  </si>
  <si>
    <t xml:space="preserve">mfl88@hotmail.com</t>
  </si>
  <si>
    <t xml:space="preserve">(310) 555 7788</t>
  </si>
  <si>
    <t xml:space="preserve">CARLOS  andrés ruiz </t>
  </si>
  <si>
    <t xml:space="preserve">carlos.ruiz@empresa.co</t>
  </si>
  <si>
    <t xml:space="preserve">+57 315 222 3344</t>
  </si>
  <si>
    <t xml:space="preserve">ana  sofía VÉLEZ</t>
  </si>
  <si>
    <t xml:space="preserve">ANA.VELEZ@outlook.com</t>
  </si>
  <si>
    <t xml:space="preserve">3204445566</t>
  </si>
  <si>
    <t xml:space="preserve">pedro   ramírez</t>
  </si>
  <si>
    <t xml:space="preserve">pramirez@yahoo.es</t>
  </si>
  <si>
    <t xml:space="preserve">301 999-0000</t>
  </si>
  <si>
    <t xml:space="preserve">Juan Pérez Gómez</t>
  </si>
  <si>
    <t xml:space="preserve">  JUAN.PEREZ@gmail.com</t>
  </si>
  <si>
    <t xml:space="preserve">300 123 4567</t>
  </si>
  <si>
    <t xml:space="preserve">lucía   martínez   ORTIZ</t>
  </si>
  <si>
    <t xml:space="preserve">lucia_mo@gmail.com</t>
  </si>
  <si>
    <t xml:space="preserve">+573118887766</t>
  </si>
  <si>
    <t xml:space="preserve">jorge eliécer  GAITÁN</t>
  </si>
  <si>
    <t xml:space="preserve">jegaitan@empresa.co</t>
  </si>
  <si>
    <t xml:space="preserve">(312)-000-1122</t>
  </si>
  <si>
    <t xml:space="preserve">valeria  CANO</t>
  </si>
  <si>
    <t xml:space="preserve">vcano@hotmail.com</t>
  </si>
  <si>
    <t xml:space="preserve">316.777.8899</t>
  </si>
  <si>
    <t xml:space="preserve">ANA sofía vélez</t>
  </si>
  <si>
    <t xml:space="preserve">ana.velez@outlook.com </t>
  </si>
  <si>
    <t xml:space="preserve">320 444 5566</t>
  </si>
  <si>
    <t xml:space="preserve">  diego  alejandro  mesa</t>
  </si>
  <si>
    <t xml:space="preserve">dmesa@unal.edu.co</t>
  </si>
  <si>
    <t xml:space="preserve">3175550011</t>
  </si>
  <si>
    <t xml:space="preserve">paula ANDREA quintero</t>
  </si>
  <si>
    <t xml:space="preserve">pquintero@gmail.com</t>
  </si>
  <si>
    <t xml:space="preserve">+57 (300) 765 4321</t>
  </si>
  <si>
    <t xml:space="preserve">Ejercicio 6 – Rankings</t>
  </si>
  <si>
    <t xml:space="preserve">Puesto</t>
  </si>
  <si>
    <t xml:space="preserve">Venta total</t>
  </si>
  <si>
    <t xml:space="preserve">Unidades</t>
  </si>
  <si>
    <t xml:space="preserve">Festivos Colombia 2026</t>
  </si>
  <si>
    <t xml:space="preserve">Usar como rango de festivos en el ejercicio 7.</t>
  </si>
  <si>
    <t xml:space="preserve">Festivo</t>
  </si>
  <si>
    <t xml:space="preserve">Año Nuevo</t>
  </si>
  <si>
    <t xml:space="preserve">Reyes Magos</t>
  </si>
  <si>
    <t xml:space="preserve">San José</t>
  </si>
  <si>
    <t xml:space="preserve">Jueves Santo</t>
  </si>
  <si>
    <t xml:space="preserve">Viernes Santo</t>
  </si>
  <si>
    <t xml:space="preserve">Día del Trabajo</t>
  </si>
  <si>
    <t xml:space="preserve">Ascensión</t>
  </si>
  <si>
    <t xml:space="preserve">Corpus Christi</t>
  </si>
  <si>
    <t xml:space="preserve">Sagrado Corazón</t>
  </si>
  <si>
    <t xml:space="preserve">San Pedro y San Pablo</t>
  </si>
  <si>
    <t xml:space="preserve">Independencia</t>
  </si>
  <si>
    <t xml:space="preserve">Batalla de Boyacá</t>
  </si>
  <si>
    <t xml:space="preserve">Asunción de la Virgen</t>
  </si>
  <si>
    <t xml:space="preserve">Día de la Raza</t>
  </si>
  <si>
    <t xml:space="preserve">Todos los Santos</t>
  </si>
  <si>
    <t xml:space="preserve">Independencia de Cartagena</t>
  </si>
  <si>
    <t xml:space="preserve">Inmaculada Concepción</t>
  </si>
  <si>
    <t xml:space="preserve">Navidad</t>
  </si>
  <si>
    <t xml:space="preserve">Ejercicio 7 – Entregas</t>
  </si>
  <si>
    <t xml:space="preserve">Pedido</t>
  </si>
  <si>
    <t xml:space="preserve">Fecha pedido</t>
  </si>
  <si>
    <t xml:space="preserve">Plazo (días hábiles)</t>
  </si>
  <si>
    <t xml:space="preserve">Fecha entrega real</t>
  </si>
  <si>
    <t xml:space="preserve">Fecha límite</t>
  </si>
  <si>
    <t xml:space="preserve">Días hábiles reales</t>
  </si>
  <si>
    <t xml:space="preserve">Estado</t>
  </si>
  <si>
    <t xml:space="preserve">Retrasos por región</t>
  </si>
  <si>
    <t xml:space="preserve">PED-500</t>
  </si>
  <si>
    <t xml:space="preserve">Retrasados</t>
  </si>
  <si>
    <t xml:space="preserve">PED-501</t>
  </si>
  <si>
    <t xml:space="preserve">PED-502</t>
  </si>
  <si>
    <t xml:space="preserve">PED-503</t>
  </si>
  <si>
    <t xml:space="preserve">PED-504</t>
  </si>
  <si>
    <t xml:space="preserve">PED-505</t>
  </si>
  <si>
    <t xml:space="preserve">PED-506</t>
  </si>
  <si>
    <t xml:space="preserve">PED-507</t>
  </si>
  <si>
    <t xml:space="preserve">PED-508</t>
  </si>
  <si>
    <t xml:space="preserve">PED-509</t>
  </si>
  <si>
    <t xml:space="preserve">PED-510</t>
  </si>
  <si>
    <t xml:space="preserve">PED-511</t>
  </si>
  <si>
    <t xml:space="preserve">PED-512</t>
  </si>
  <si>
    <t xml:space="preserve">PED-513</t>
  </si>
  <si>
    <t xml:space="preserve">PED-514</t>
  </si>
  <si>
    <t xml:space="preserve">PED-515</t>
  </si>
  <si>
    <t xml:space="preserve">PED-516</t>
  </si>
  <si>
    <t xml:space="preserve">PED-517</t>
  </si>
  <si>
    <t xml:space="preserve">Ejercicio 9 – Panel interactivo</t>
  </si>
  <si>
    <t xml:space="preserve">Mes</t>
  </si>
  <si>
    <t xml:space="preserve">Unidades vendidas</t>
  </si>
  <si>
    <t xml:space="preserve">Transacciones</t>
  </si>
  <si>
    <t xml:space="preserve">Ticket promedio</t>
  </si>
  <si>
    <t xml:space="preserve">Producto más vendido</t>
  </si>
  <si>
    <t xml:space="preserve">Variación vs. mes anterior</t>
  </si>
  <si>
    <t xml:space="preserve">Ejercicio 10 – Crédito de libre inversión</t>
  </si>
  <si>
    <t xml:space="preserve">Monto del crédito</t>
  </si>
  <si>
    <t xml:space="preserve">Tasa efectiva anual</t>
  </si>
  <si>
    <t xml:space="preserve">Plazo (meses)</t>
  </si>
  <si>
    <t xml:space="preserve">Tasa mensual equivalente</t>
  </si>
  <si>
    <t xml:space="preserve">Cuota fija</t>
  </si>
  <si>
    <t xml:space="preserve">Escenario B: abono extra</t>
  </si>
  <si>
    <t xml:space="preserve">Escenario B: mes del abono</t>
  </si>
  <si>
    <t xml:space="preserve">Escenario B: meses ahorrados</t>
  </si>
  <si>
    <t xml:space="preserve">Escenario B: intereses ahorrados</t>
  </si>
  <si>
    <t xml:space="preserve">Saldo inicial</t>
  </si>
  <si>
    <t xml:space="preserve">Cuota</t>
  </si>
  <si>
    <t xml:space="preserve">Interés</t>
  </si>
  <si>
    <t xml:space="preserve">Abono a capital</t>
  </si>
  <si>
    <t xml:space="preserve">Saldo final</t>
  </si>
  <si>
    <t xml:space="preserve">Abono extra</t>
  </si>
</sst>
</file>

<file path=xl/styles.xml><?xml version="1.0" encoding="utf-8"?>
<styleSheet xmlns="http://schemas.openxmlformats.org/spreadsheetml/2006/main">
  <numFmts count="9">
    <numFmt numFmtId="164" formatCode="General"/>
    <numFmt numFmtId="165" formatCode="\$#,##0"/>
    <numFmt numFmtId="166" formatCode="0%"/>
    <numFmt numFmtId="167" formatCode="dd/mm/yyyy"/>
    <numFmt numFmtId="168" formatCode="mmm\-yy"/>
    <numFmt numFmtId="169" formatCode="0.0%"/>
    <numFmt numFmtId="170" formatCode="0"/>
    <numFmt numFmtId="171" formatCode="0.00%"/>
    <numFmt numFmtId="172" formatCode="0.0000%"/>
  </numFmts>
  <fonts count="13">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sz val="11"/>
      <color theme="1"/>
      <name val="Arial"/>
      <family val="0"/>
      <charset val="1"/>
    </font>
    <font>
      <i val="true"/>
      <sz val="10"/>
      <color rgb="FF555555"/>
      <name val="Arial"/>
      <family val="0"/>
      <charset val="1"/>
    </font>
    <font>
      <b val="true"/>
      <sz val="11"/>
      <name val="Arial"/>
      <family val="0"/>
      <charset val="1"/>
    </font>
    <font>
      <sz val="11"/>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FFF2CC"/>
        <bgColor rgb="FFFFF4CC"/>
      </patternFill>
    </fill>
    <fill>
      <patternFill patternType="solid">
        <fgColor rgb="FF1F4E78"/>
        <bgColor rgb="FF003366"/>
      </patternFill>
    </fill>
    <fill>
      <patternFill patternType="solid">
        <fgColor rgb="FFDDF4E4"/>
        <bgColor rgb="FFC6EFCE"/>
      </patternFill>
    </fill>
    <fill>
      <patternFill patternType="solid">
        <fgColor rgb="FFFFF4CC"/>
        <bgColor rgb="FFFFF2CC"/>
      </patternFill>
    </fill>
    <fill>
      <patternFill patternType="solid">
        <fgColor rgb="FFFDE2E1"/>
        <bgColor rgb="FFFFF2CC"/>
      </patternFill>
    </fill>
    <fill>
      <patternFill patternType="solid">
        <fgColor rgb="FFB45F06"/>
        <bgColor rgb="FF808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9" fontId="11" fillId="2" borderId="1" xfId="0" applyFont="true" applyBorder="true" applyAlignment="true" applyProtection="false">
      <alignment horizontal="general" vertical="bottom" textRotation="0" wrapText="false" indent="0" shrinkToFit="false"/>
      <protection locked="true" hidden="false"/>
    </xf>
    <xf numFmtId="170" fontId="11" fillId="2" borderId="1" xfId="0" applyFont="true" applyBorder="true" applyAlignment="tru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bottom" textRotation="0" wrapText="false" indent="0" shrinkToFit="false"/>
      <protection locked="true" hidden="false"/>
    </xf>
    <xf numFmtId="166" fontId="11" fillId="2" borderId="1" xfId="0" applyFont="true" applyBorder="true" applyAlignment="true" applyProtection="false">
      <alignment horizontal="general" vertical="bottom" textRotation="0" wrapText="false" indent="0" shrinkToFit="false"/>
      <protection locked="true" hidden="false"/>
    </xf>
    <xf numFmtId="167" fontId="11" fillId="2" borderId="1" xfId="0" applyFont="true" applyBorder="true" applyAlignment="tru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general" vertical="bottom" textRotation="0" wrapText="false" indent="0" shrinkToFit="false"/>
      <protection locked="true" hidden="false"/>
    </xf>
    <xf numFmtId="170" fontId="11" fillId="0" borderId="1" xfId="0" applyFont="true" applyBorder="true" applyAlignment="true" applyProtection="false">
      <alignment horizontal="general" vertical="bottom" textRotation="0" wrapText="false" indent="0" shrinkToFit="false"/>
      <protection locked="true" hidden="false"/>
    </xf>
    <xf numFmtId="172" fontId="11" fillId="2" borderId="1"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6B6B"/>
        </patternFill>
      </fill>
    </dxf>
    <dxf>
      <fill>
        <patternFill>
          <bgColor rgb="FFFFE066"/>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CC"/>
      <rgbColor rgb="FFDDF4E4"/>
      <rgbColor rgb="FF660066"/>
      <rgbColor rgb="FFFF6B6B"/>
      <rgbColor rgb="FF0066CC"/>
      <rgbColor rgb="FFFDE2E1"/>
      <rgbColor rgb="FF000080"/>
      <rgbColor rgb="FFFF00FF"/>
      <rgbColor rgb="FFFFFF00"/>
      <rgbColor rgb="FF00FFFF"/>
      <rgbColor rgb="FF800080"/>
      <rgbColor rgb="FF800000"/>
      <rgbColor rgb="FF008080"/>
      <rgbColor rgb="FF0000FF"/>
      <rgbColor rgb="FF00CCFF"/>
      <rgbColor rgb="FFCCFFFF"/>
      <rgbColor rgb="FFC6EFCE"/>
      <rgbColor rgb="FFFFF2CC"/>
      <rgbColor rgb="FF99CCFF"/>
      <rgbColor rgb="FFFF99CC"/>
      <rgbColor rgb="FFCC99FF"/>
      <rgbColor rgb="FFFFC7CE"/>
      <rgbColor rgb="FF3366FF"/>
      <rgbColor rgb="FF33CCCC"/>
      <rgbColor rgb="FF99CC00"/>
      <rgbColor rgb="FFFFE066"/>
      <rgbColor rgb="FFFF9900"/>
      <rgbColor rgb="FFFF6600"/>
      <rgbColor rgb="FF555555"/>
      <rgbColor rgb="FF969696"/>
      <rgbColor rgb="FF003366"/>
      <rgbColor rgb="FF339966"/>
      <rgbColor rgb="FF003300"/>
      <rgbColor rgb="FF333300"/>
      <rgbColor rgb="FFB45F06"/>
      <rgbColor rgb="FF993366"/>
      <rgbColor rgb="FF1F4E78"/>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9" activePane="bottomLeft" state="frozen"/>
      <selection pane="topLeft" activeCell="A1" activeCellId="0" sqref="A1"/>
      <selection pane="bottomLeft" activeCell="G10" activeCellId="0" sqref="G10"/>
    </sheetView>
  </sheetViews>
  <sheetFormatPr defaultColWidth="9.14843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18"/>
    <col collapsed="false" customWidth="true" hidden="false" outlineLevel="0" max="4" min="4" style="1" width="26"/>
    <col collapsed="false" customWidth="true" hidden="false" outlineLevel="0" max="5" min="5" style="1" width="12"/>
    <col collapsed="false" customWidth="true" hidden="false" outlineLevel="0" max="6" min="6" style="1" width="85"/>
  </cols>
  <sheetData>
    <row r="1" customFormat="false" ht="18" hidden="false" customHeight="true" outlineLevel="0" collapsed="false">
      <c r="A1" s="2" t="s">
        <v>0</v>
      </c>
      <c r="B1" s="3"/>
      <c r="C1" s="3"/>
      <c r="D1" s="3"/>
      <c r="E1" s="3"/>
      <c r="F1" s="3"/>
    </row>
    <row r="2" customFormat="false" ht="15" hidden="false" customHeight="true" outlineLevel="0" collapsed="false">
      <c r="A2" s="4" t="s">
        <v>1</v>
      </c>
      <c r="B2" s="3"/>
      <c r="C2" s="3"/>
      <c r="D2" s="3"/>
      <c r="E2" s="3"/>
      <c r="F2" s="3"/>
    </row>
    <row r="3" customFormat="false" ht="15" hidden="false" customHeight="true" outlineLevel="0" collapsed="false">
      <c r="A3" s="5" t="s">
        <v>2</v>
      </c>
      <c r="B3" s="6" t="s">
        <v>3</v>
      </c>
      <c r="C3" s="7" t="s">
        <v>4</v>
      </c>
      <c r="D3" s="3"/>
      <c r="E3" s="3"/>
      <c r="F3" s="3"/>
    </row>
    <row r="4" customFormat="false" ht="15" hidden="false" customHeight="true" outlineLevel="0" collapsed="false">
      <c r="A4" s="3"/>
      <c r="B4" s="3"/>
      <c r="C4" s="3"/>
      <c r="D4" s="3"/>
      <c r="E4" s="3"/>
      <c r="F4" s="3"/>
    </row>
    <row r="5" customFormat="false" ht="15" hidden="false" customHeight="true" outlineLevel="0" collapsed="false">
      <c r="A5" s="8" t="s">
        <v>5</v>
      </c>
      <c r="B5" s="8" t="s">
        <v>6</v>
      </c>
      <c r="C5" s="8" t="s">
        <v>7</v>
      </c>
      <c r="D5" s="8" t="s">
        <v>8</v>
      </c>
      <c r="E5" s="8" t="s">
        <v>9</v>
      </c>
      <c r="F5" s="8" t="s">
        <v>10</v>
      </c>
    </row>
    <row r="6" customFormat="false" ht="97.5" hidden="false" customHeight="true" outlineLevel="0" collapsed="false">
      <c r="A6" s="9" t="n">
        <v>1</v>
      </c>
      <c r="B6" s="10" t="s">
        <v>11</v>
      </c>
      <c r="C6" s="11" t="s">
        <v>12</v>
      </c>
      <c r="D6" s="11" t="s">
        <v>13</v>
      </c>
      <c r="E6" s="12" t="s">
        <v>14</v>
      </c>
      <c r="F6" s="11" t="s">
        <v>15</v>
      </c>
    </row>
    <row r="7" customFormat="false" ht="84" hidden="false" customHeight="true" outlineLevel="0" collapsed="false">
      <c r="A7" s="9" t="n">
        <v>2</v>
      </c>
      <c r="B7" s="10" t="s">
        <v>16</v>
      </c>
      <c r="C7" s="11" t="s">
        <v>17</v>
      </c>
      <c r="D7" s="11" t="s">
        <v>18</v>
      </c>
      <c r="E7" s="13" t="s">
        <v>19</v>
      </c>
      <c r="F7" s="11" t="s">
        <v>20</v>
      </c>
    </row>
    <row r="8" customFormat="false" ht="97.5" hidden="false" customHeight="true" outlineLevel="0" collapsed="false">
      <c r="A8" s="9" t="n">
        <v>3</v>
      </c>
      <c r="B8" s="10" t="s">
        <v>21</v>
      </c>
      <c r="C8" s="11" t="s">
        <v>22</v>
      </c>
      <c r="D8" s="11" t="s">
        <v>23</v>
      </c>
      <c r="E8" s="14" t="s">
        <v>24</v>
      </c>
      <c r="F8" s="11" t="s">
        <v>25</v>
      </c>
    </row>
    <row r="9" customFormat="false" ht="84" hidden="false" customHeight="true" outlineLevel="0" collapsed="false">
      <c r="A9" s="9" t="n">
        <v>4</v>
      </c>
      <c r="B9" s="10" t="s">
        <v>26</v>
      </c>
      <c r="C9" s="11" t="s">
        <v>27</v>
      </c>
      <c r="D9" s="11" t="s">
        <v>28</v>
      </c>
      <c r="E9" s="13" t="s">
        <v>19</v>
      </c>
      <c r="F9" s="11" t="s">
        <v>29</v>
      </c>
    </row>
    <row r="10" customFormat="false" ht="97.5" hidden="false" customHeight="true" outlineLevel="0" collapsed="false">
      <c r="A10" s="9" t="n">
        <v>5</v>
      </c>
      <c r="B10" s="10" t="s">
        <v>30</v>
      </c>
      <c r="C10" s="11" t="s">
        <v>31</v>
      </c>
      <c r="D10" s="11" t="s">
        <v>32</v>
      </c>
      <c r="E10" s="14" t="s">
        <v>24</v>
      </c>
      <c r="F10" s="11" t="s">
        <v>33</v>
      </c>
    </row>
    <row r="11" customFormat="false" ht="69.75" hidden="false" customHeight="true" outlineLevel="0" collapsed="false">
      <c r="A11" s="9" t="n">
        <v>6</v>
      </c>
      <c r="B11" s="10" t="s">
        <v>34</v>
      </c>
      <c r="C11" s="11" t="s">
        <v>35</v>
      </c>
      <c r="D11" s="11" t="s">
        <v>36</v>
      </c>
      <c r="E11" s="14" t="s">
        <v>24</v>
      </c>
      <c r="F11" s="11" t="s">
        <v>37</v>
      </c>
    </row>
    <row r="12" customFormat="false" ht="97.5" hidden="false" customHeight="true" outlineLevel="0" collapsed="false">
      <c r="A12" s="9" t="n">
        <v>7</v>
      </c>
      <c r="B12" s="10" t="s">
        <v>38</v>
      </c>
      <c r="C12" s="11" t="s">
        <v>39</v>
      </c>
      <c r="D12" s="11" t="s">
        <v>40</v>
      </c>
      <c r="E12" s="13" t="s">
        <v>19</v>
      </c>
      <c r="F12" s="11" t="s">
        <v>41</v>
      </c>
    </row>
    <row r="13" customFormat="false" ht="97.5" hidden="false" customHeight="true" outlineLevel="0" collapsed="false">
      <c r="A13" s="9" t="n">
        <v>8</v>
      </c>
      <c r="B13" s="10" t="s">
        <v>42</v>
      </c>
      <c r="C13" s="11" t="s">
        <v>43</v>
      </c>
      <c r="D13" s="11" t="s">
        <v>44</v>
      </c>
      <c r="E13" s="12" t="s">
        <v>14</v>
      </c>
      <c r="F13" s="11" t="s">
        <v>45</v>
      </c>
    </row>
    <row r="14" customFormat="false" ht="84" hidden="false" customHeight="true" outlineLevel="0" collapsed="false">
      <c r="A14" s="9" t="n">
        <v>9</v>
      </c>
      <c r="B14" s="10" t="s">
        <v>46</v>
      </c>
      <c r="C14" s="11" t="s">
        <v>47</v>
      </c>
      <c r="D14" s="11" t="s">
        <v>48</v>
      </c>
      <c r="E14" s="14" t="s">
        <v>24</v>
      </c>
      <c r="F14" s="11" t="s">
        <v>49</v>
      </c>
    </row>
    <row r="15" customFormat="false" ht="97.5" hidden="false" customHeight="true" outlineLevel="0" collapsed="false">
      <c r="A15" s="9" t="n">
        <v>10</v>
      </c>
      <c r="B15" s="10" t="s">
        <v>50</v>
      </c>
      <c r="C15" s="11" t="s">
        <v>51</v>
      </c>
      <c r="D15" s="11" t="s">
        <v>52</v>
      </c>
      <c r="E15" s="14" t="s">
        <v>24</v>
      </c>
      <c r="F15" s="11"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4" min="3" style="1" width="16"/>
    <col collapsed="false" customWidth="true" hidden="false" outlineLevel="0" max="5" min="5" style="1" width="9"/>
    <col collapsed="false" customWidth="true" hidden="false" outlineLevel="0" max="6" min="6" style="1" width="13"/>
    <col collapsed="false" customWidth="true" hidden="false" outlineLevel="0" max="9" min="9" style="1" width="16"/>
    <col collapsed="false" customWidth="true" hidden="false" outlineLevel="0" max="10" min="10" style="1" width="11"/>
  </cols>
  <sheetData>
    <row r="1" customFormat="false" ht="18" hidden="false" customHeight="true" outlineLevel="0" collapsed="false">
      <c r="A1" s="2" t="s">
        <v>54</v>
      </c>
      <c r="B1" s="3"/>
      <c r="C1" s="3"/>
      <c r="D1" s="3"/>
      <c r="E1" s="3"/>
      <c r="F1" s="3"/>
      <c r="G1" s="3"/>
      <c r="H1" s="3"/>
      <c r="I1" s="3"/>
      <c r="J1" s="3"/>
    </row>
    <row r="2" customFormat="false" ht="15" hidden="false" customHeight="true" outlineLevel="0" collapsed="false">
      <c r="A2" s="4" t="s">
        <v>55</v>
      </c>
      <c r="B2" s="3"/>
      <c r="C2" s="3"/>
      <c r="D2" s="3"/>
      <c r="E2" s="3"/>
      <c r="F2" s="3"/>
      <c r="G2" s="3"/>
      <c r="H2" s="3"/>
      <c r="I2" s="3"/>
      <c r="J2" s="3"/>
    </row>
    <row r="3" customFormat="false" ht="15" hidden="false" customHeight="true" outlineLevel="0" collapsed="false">
      <c r="A3" s="3"/>
      <c r="B3" s="3"/>
      <c r="C3" s="3"/>
      <c r="D3" s="3"/>
      <c r="E3" s="3"/>
      <c r="F3" s="3"/>
      <c r="G3" s="3"/>
      <c r="H3" s="3"/>
      <c r="I3" s="3"/>
      <c r="J3" s="3"/>
    </row>
    <row r="4" customFormat="false" ht="30" hidden="false" customHeight="true" outlineLevel="0" collapsed="false">
      <c r="A4" s="8" t="s">
        <v>56</v>
      </c>
      <c r="B4" s="8" t="s">
        <v>57</v>
      </c>
      <c r="C4" s="8" t="s">
        <v>58</v>
      </c>
      <c r="D4" s="8" t="s">
        <v>59</v>
      </c>
      <c r="E4" s="8" t="s">
        <v>60</v>
      </c>
      <c r="F4" s="8" t="s">
        <v>61</v>
      </c>
      <c r="G4" s="3"/>
      <c r="H4" s="3"/>
      <c r="I4" s="5" t="s">
        <v>62</v>
      </c>
      <c r="J4" s="3"/>
    </row>
    <row r="5" customFormat="false" ht="30" hidden="false" customHeight="true" outlineLevel="0" collapsed="false">
      <c r="A5" s="15" t="s">
        <v>63</v>
      </c>
      <c r="B5" s="15" t="s">
        <v>64</v>
      </c>
      <c r="C5" s="15" t="s">
        <v>65</v>
      </c>
      <c r="D5" s="16" t="n">
        <v>185000</v>
      </c>
      <c r="E5" s="15" t="n">
        <v>34</v>
      </c>
      <c r="F5" s="15" t="n">
        <v>20</v>
      </c>
      <c r="G5" s="3"/>
      <c r="H5" s="3"/>
      <c r="I5" s="8" t="s">
        <v>58</v>
      </c>
      <c r="J5" s="8" t="s">
        <v>66</v>
      </c>
    </row>
    <row r="6" customFormat="false" ht="15" hidden="false" customHeight="true" outlineLevel="0" collapsed="false">
      <c r="A6" s="15" t="s">
        <v>67</v>
      </c>
      <c r="B6" s="15" t="s">
        <v>68</v>
      </c>
      <c r="C6" s="15" t="s">
        <v>65</v>
      </c>
      <c r="D6" s="16" t="n">
        <v>72000</v>
      </c>
      <c r="E6" s="15" t="n">
        <v>12</v>
      </c>
      <c r="F6" s="15" t="n">
        <v>15</v>
      </c>
      <c r="G6" s="3"/>
      <c r="H6" s="3"/>
      <c r="I6" s="15" t="s">
        <v>65</v>
      </c>
      <c r="J6" s="17" t="n">
        <v>0.05</v>
      </c>
    </row>
    <row r="7" customFormat="false" ht="15" hidden="false" customHeight="true" outlineLevel="0" collapsed="false">
      <c r="A7" s="15" t="s">
        <v>69</v>
      </c>
      <c r="B7" s="15" t="s">
        <v>70</v>
      </c>
      <c r="C7" s="15" t="s">
        <v>71</v>
      </c>
      <c r="D7" s="16" t="n">
        <v>690000</v>
      </c>
      <c r="E7" s="15" t="n">
        <v>8</v>
      </c>
      <c r="F7" s="15" t="n">
        <v>10</v>
      </c>
      <c r="G7" s="3"/>
      <c r="H7" s="3"/>
      <c r="I7" s="15" t="s">
        <v>71</v>
      </c>
      <c r="J7" s="17" t="n">
        <v>0.08</v>
      </c>
    </row>
    <row r="8" customFormat="false" ht="15" hidden="false" customHeight="true" outlineLevel="0" collapsed="false">
      <c r="A8" s="15" t="s">
        <v>72</v>
      </c>
      <c r="B8" s="15" t="s">
        <v>73</v>
      </c>
      <c r="C8" s="15" t="s">
        <v>71</v>
      </c>
      <c r="D8" s="16" t="n">
        <v>1150000</v>
      </c>
      <c r="E8" s="15" t="n">
        <v>22</v>
      </c>
      <c r="F8" s="15" t="n">
        <v>6</v>
      </c>
      <c r="G8" s="3"/>
      <c r="H8" s="3"/>
      <c r="I8" s="15" t="s">
        <v>74</v>
      </c>
      <c r="J8" s="17" t="n">
        <v>0.1</v>
      </c>
    </row>
    <row r="9" customFormat="false" ht="15" hidden="false" customHeight="true" outlineLevel="0" collapsed="false">
      <c r="A9" s="15" t="s">
        <v>75</v>
      </c>
      <c r="B9" s="15" t="s">
        <v>76</v>
      </c>
      <c r="C9" s="15" t="s">
        <v>74</v>
      </c>
      <c r="D9" s="16" t="n">
        <v>3200000</v>
      </c>
      <c r="E9" s="15" t="n">
        <v>5</v>
      </c>
      <c r="F9" s="15" t="n">
        <v>4</v>
      </c>
      <c r="G9" s="3"/>
      <c r="H9" s="3"/>
      <c r="I9" s="15" t="s">
        <v>77</v>
      </c>
      <c r="J9" s="17" t="n">
        <v>0</v>
      </c>
    </row>
    <row r="10" customFormat="false" ht="15" hidden="false" customHeight="true" outlineLevel="0" collapsed="false">
      <c r="A10" s="15" t="s">
        <v>78</v>
      </c>
      <c r="B10" s="15" t="s">
        <v>79</v>
      </c>
      <c r="C10" s="15" t="s">
        <v>74</v>
      </c>
      <c r="D10" s="16" t="n">
        <v>4550000</v>
      </c>
      <c r="E10" s="15" t="n">
        <v>3</v>
      </c>
      <c r="F10" s="15" t="n">
        <v>4</v>
      </c>
      <c r="G10" s="3"/>
      <c r="H10" s="3"/>
      <c r="I10" s="15" t="s">
        <v>80</v>
      </c>
      <c r="J10" s="17" t="n">
        <v>0.03</v>
      </c>
    </row>
    <row r="11" customFormat="false" ht="15" hidden="false" customHeight="true" outlineLevel="0" collapsed="false">
      <c r="A11" s="15" t="s">
        <v>81</v>
      </c>
      <c r="B11" s="15" t="s">
        <v>82</v>
      </c>
      <c r="C11" s="15" t="s">
        <v>77</v>
      </c>
      <c r="D11" s="16" t="n">
        <v>145000</v>
      </c>
      <c r="E11" s="15" t="n">
        <v>40</v>
      </c>
      <c r="F11" s="15" t="n">
        <v>15</v>
      </c>
      <c r="G11" s="3"/>
      <c r="H11" s="3"/>
      <c r="I11" s="15" t="s">
        <v>83</v>
      </c>
      <c r="J11" s="17" t="n">
        <v>0.12</v>
      </c>
    </row>
    <row r="12" customFormat="false" ht="15" hidden="false" customHeight="true" outlineLevel="0" collapsed="false">
      <c r="A12" s="15" t="s">
        <v>84</v>
      </c>
      <c r="B12" s="15" t="s">
        <v>85</v>
      </c>
      <c r="C12" s="15" t="s">
        <v>77</v>
      </c>
      <c r="D12" s="16" t="n">
        <v>230000</v>
      </c>
      <c r="E12" s="15" t="n">
        <v>18</v>
      </c>
      <c r="F12" s="15" t="n">
        <v>10</v>
      </c>
      <c r="G12" s="3"/>
      <c r="H12" s="3"/>
      <c r="I12" s="3"/>
      <c r="J12" s="3"/>
    </row>
    <row r="13" customFormat="false" ht="15" hidden="false" customHeight="true" outlineLevel="0" collapsed="false">
      <c r="A13" s="15" t="s">
        <v>86</v>
      </c>
      <c r="B13" s="15" t="s">
        <v>87</v>
      </c>
      <c r="C13" s="15" t="s">
        <v>80</v>
      </c>
      <c r="D13" s="16" t="n">
        <v>390000</v>
      </c>
      <c r="E13" s="15" t="n">
        <v>9</v>
      </c>
      <c r="F13" s="15" t="n">
        <v>12</v>
      </c>
      <c r="G13" s="3"/>
      <c r="H13" s="3"/>
      <c r="I13" s="3"/>
      <c r="J13" s="3"/>
    </row>
    <row r="14" customFormat="false" ht="15" hidden="false" customHeight="true" outlineLevel="0" collapsed="false">
      <c r="A14" s="15" t="s">
        <v>88</v>
      </c>
      <c r="B14" s="15" t="s">
        <v>89</v>
      </c>
      <c r="C14" s="15" t="s">
        <v>80</v>
      </c>
      <c r="D14" s="16" t="n">
        <v>58000</v>
      </c>
      <c r="E14" s="15" t="n">
        <v>60</v>
      </c>
      <c r="F14" s="15" t="n">
        <v>25</v>
      </c>
      <c r="G14" s="3"/>
      <c r="H14" s="3"/>
      <c r="I14" s="3"/>
      <c r="J14" s="3"/>
    </row>
    <row r="15" customFormat="false" ht="15" hidden="false" customHeight="true" outlineLevel="0" collapsed="false">
      <c r="A15" s="15" t="s">
        <v>90</v>
      </c>
      <c r="B15" s="15" t="s">
        <v>91</v>
      </c>
      <c r="C15" s="15" t="s">
        <v>65</v>
      </c>
      <c r="D15" s="16" t="n">
        <v>165000</v>
      </c>
      <c r="E15" s="15" t="n">
        <v>14</v>
      </c>
      <c r="F15" s="15" t="n">
        <v>10</v>
      </c>
      <c r="G15" s="3"/>
      <c r="H15" s="3"/>
      <c r="I15" s="3"/>
      <c r="J15" s="3"/>
    </row>
    <row r="16" customFormat="false" ht="15" hidden="false" customHeight="true" outlineLevel="0" collapsed="false">
      <c r="A16" s="15" t="s">
        <v>92</v>
      </c>
      <c r="B16" s="15" t="s">
        <v>93</v>
      </c>
      <c r="C16" s="15" t="s">
        <v>83</v>
      </c>
      <c r="D16" s="16" t="n">
        <v>89000</v>
      </c>
      <c r="E16" s="15" t="n">
        <v>7</v>
      </c>
      <c r="F16" s="15" t="n">
        <v>8</v>
      </c>
      <c r="G16" s="3"/>
      <c r="H16" s="3"/>
      <c r="I16" s="3"/>
      <c r="J16" s="3"/>
    </row>
  </sheetData>
  <conditionalFormatting sqref="A5:F16">
    <cfRule type="expression" priority="2" aboveAverage="0" equalAverage="0" bottom="0" percent="0" rank="0" text="" dxfId="0">
      <formula>$E5&lt;$F5</formula>
    </cfRule>
    <cfRule type="expression" priority="3" aboveAverage="0" equalAverage="0" bottom="0" percent="0" rank="0" text="" dxfId="1">
      <formula>AND($E5&gt;=$F5,$E5&lt;$F5+5)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9.14843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17"/>
    <col collapsed="false" customWidth="true" hidden="false" outlineLevel="0" max="4" min="4" style="1" width="12"/>
    <col collapsed="false" customWidth="true" hidden="false" outlineLevel="0" max="6" min="5" style="1" width="10"/>
    <col collapsed="false" customWidth="true" hidden="false" outlineLevel="0" max="7" min="7" style="1" width="22"/>
    <col collapsed="false" customWidth="true" hidden="false" outlineLevel="0" max="9" min="8" style="1" width="16"/>
  </cols>
  <sheetData>
    <row r="1" customFormat="false" ht="18" hidden="false" customHeight="true" outlineLevel="0" collapsed="false">
      <c r="A1" s="2" t="s">
        <v>94</v>
      </c>
      <c r="B1" s="3"/>
      <c r="C1" s="3"/>
      <c r="D1" s="3"/>
      <c r="E1" s="3"/>
      <c r="F1" s="3"/>
      <c r="G1" s="3"/>
      <c r="H1" s="3"/>
      <c r="I1" s="3"/>
    </row>
    <row r="2" customFormat="false" ht="15" hidden="false" customHeight="true" outlineLevel="0" collapsed="false">
      <c r="A2" s="4" t="s">
        <v>95</v>
      </c>
      <c r="B2" s="3"/>
      <c r="C2" s="3"/>
      <c r="D2" s="3"/>
      <c r="E2" s="3"/>
      <c r="F2" s="3"/>
      <c r="G2" s="3"/>
      <c r="H2" s="3"/>
      <c r="I2" s="3"/>
    </row>
    <row r="3" customFormat="false" ht="15" hidden="false" customHeight="true" outlineLevel="0" collapsed="false">
      <c r="A3" s="3"/>
      <c r="B3" s="3"/>
      <c r="C3" s="3"/>
      <c r="D3" s="3"/>
      <c r="E3" s="3"/>
      <c r="F3" s="3"/>
      <c r="G3" s="3"/>
      <c r="H3" s="3"/>
      <c r="I3" s="3"/>
    </row>
    <row r="4" customFormat="false" ht="15" hidden="false" customHeight="true" outlineLevel="0" collapsed="false">
      <c r="A4" s="8" t="s">
        <v>96</v>
      </c>
      <c r="B4" s="8" t="s">
        <v>97</v>
      </c>
      <c r="C4" s="8" t="s">
        <v>98</v>
      </c>
      <c r="D4" s="8" t="s">
        <v>99</v>
      </c>
      <c r="E4" s="8" t="s">
        <v>56</v>
      </c>
      <c r="F4" s="8" t="s">
        <v>100</v>
      </c>
      <c r="G4" s="18" t="s">
        <v>57</v>
      </c>
      <c r="H4" s="18" t="s">
        <v>59</v>
      </c>
      <c r="I4" s="18" t="s">
        <v>101</v>
      </c>
    </row>
    <row r="5" customFormat="false" ht="15" hidden="false" customHeight="true" outlineLevel="0" collapsed="false">
      <c r="A5" s="15" t="s">
        <v>102</v>
      </c>
      <c r="B5" s="19" t="n">
        <v>46025</v>
      </c>
      <c r="C5" s="15" t="s">
        <v>103</v>
      </c>
      <c r="D5" s="15" t="s">
        <v>104</v>
      </c>
      <c r="E5" s="15" t="s">
        <v>81</v>
      </c>
      <c r="F5" s="15" t="n">
        <v>5</v>
      </c>
      <c r="G5" s="20" t="str">
        <f aca="false">IFERROR(INDEX(Catálogo!$B$5:$B$16,MATCH(E5,Catálogo!$A$5:$A$16,0)),"CÓDIGO NO EXISTE")</f>
        <v>Diadema USB</v>
      </c>
      <c r="H5" s="21" t="n">
        <f aca="false">IFERROR(INDEX(Catálogo!$D$5:$D$16,MATCH(E5,Catálogo!$A$5:$A$16,0)),0)</f>
        <v>145000</v>
      </c>
      <c r="I5" s="21" t="n">
        <f aca="false">IF(OR(H5=0,G5="CÓDIGO NO EXISTE"),0,F5*H5*(1-IFERROR(VLOOKUP(INDEX(Catálogo!$C$5:$C$16,MATCH(E5,Catálogo!$A$5:$A$16,0)),Catálogo!$I$6:$J$11,2,FALSE()),0)))</f>
        <v>725000</v>
      </c>
    </row>
    <row r="6" customFormat="false" ht="15" hidden="false" customHeight="true" outlineLevel="0" collapsed="false">
      <c r="A6" s="15" t="s">
        <v>105</v>
      </c>
      <c r="B6" s="19" t="n">
        <v>46029</v>
      </c>
      <c r="C6" s="15" t="s">
        <v>106</v>
      </c>
      <c r="D6" s="15" t="s">
        <v>107</v>
      </c>
      <c r="E6" s="15" t="s">
        <v>78</v>
      </c>
      <c r="F6" s="15" t="n">
        <v>2</v>
      </c>
      <c r="G6" s="20" t="str">
        <f aca="false">IFERROR(INDEX(Catálogo!$B$5:$B$16,MATCH(E6,Catálogo!$A$5:$A$16,0)),"CÓDIGO NO EXISTE")</f>
        <v>Portátil 16"</v>
      </c>
      <c r="H6" s="21" t="n">
        <f aca="false">IFERROR(INDEX(Catálogo!$D$5:$D$16,MATCH(E6,Catálogo!$A$5:$A$16,0)),0)</f>
        <v>4550000</v>
      </c>
      <c r="I6" s="21" t="n">
        <f aca="false">IF(OR(H6=0,G6="CÓDIGO NO EXISTE"),0,F6*H6*(1-IFERROR(VLOOKUP(INDEX(Catálogo!$C$5:$C$16,MATCH(E6,Catálogo!$A$5:$A$16,0)),Catálogo!$I$6:$J$11,2,FALSE()),0)))</f>
        <v>8190000</v>
      </c>
    </row>
    <row r="7" customFormat="false" ht="15" hidden="false" customHeight="true" outlineLevel="0" collapsed="false">
      <c r="A7" s="15" t="s">
        <v>108</v>
      </c>
      <c r="B7" s="19" t="n">
        <v>46031</v>
      </c>
      <c r="C7" s="15" t="s">
        <v>103</v>
      </c>
      <c r="D7" s="15" t="s">
        <v>104</v>
      </c>
      <c r="E7" s="15" t="s">
        <v>88</v>
      </c>
      <c r="F7" s="15" t="n">
        <v>4</v>
      </c>
      <c r="G7" s="20" t="str">
        <f aca="false">IFERROR(INDEX(Catálogo!$B$5:$B$16,MATCH(E7,Catálogo!$A$5:$A$16,0)),"CÓDIGO NO EXISTE")</f>
        <v>Memoria USB 128GB</v>
      </c>
      <c r="H7" s="21" t="n">
        <f aca="false">IFERROR(INDEX(Catálogo!$D$5:$D$16,MATCH(E7,Catálogo!$A$5:$A$16,0)),0)</f>
        <v>58000</v>
      </c>
      <c r="I7" s="21" t="n">
        <f aca="false">IF(OR(H7=0,G7="CÓDIGO NO EXISTE"),0,F7*H7*(1-IFERROR(VLOOKUP(INDEX(Catálogo!$C$5:$C$16,MATCH(E7,Catálogo!$A$5:$A$16,0)),Catálogo!$I$6:$J$11,2,FALSE()),0)))</f>
        <v>225040</v>
      </c>
    </row>
    <row r="8" customFormat="false" ht="15" hidden="false" customHeight="true" outlineLevel="0" collapsed="false">
      <c r="A8" s="15" t="s">
        <v>109</v>
      </c>
      <c r="B8" s="19" t="n">
        <v>46031</v>
      </c>
      <c r="C8" s="15" t="s">
        <v>110</v>
      </c>
      <c r="D8" s="15" t="s">
        <v>107</v>
      </c>
      <c r="E8" s="15" t="s">
        <v>75</v>
      </c>
      <c r="F8" s="15" t="n">
        <v>4</v>
      </c>
      <c r="G8" s="20" t="str">
        <f aca="false">IFERROR(INDEX(Catálogo!$B$5:$B$16,MATCH(E8,Catálogo!$A$5:$A$16,0)),"CÓDIGO NO EXISTE")</f>
        <v>Portátil 14"</v>
      </c>
      <c r="H8" s="21" t="n">
        <f aca="false">IFERROR(INDEX(Catálogo!$D$5:$D$16,MATCH(E8,Catálogo!$A$5:$A$16,0)),0)</f>
        <v>3200000</v>
      </c>
      <c r="I8" s="21" t="n">
        <f aca="false">IF(OR(H8=0,G8="CÓDIGO NO EXISTE"),0,F8*H8*(1-IFERROR(VLOOKUP(INDEX(Catálogo!$C$5:$C$16,MATCH(E8,Catálogo!$A$5:$A$16,0)),Catálogo!$I$6:$J$11,2,FALSE()),0)))</f>
        <v>11520000</v>
      </c>
    </row>
    <row r="9" customFormat="false" ht="15" hidden="false" customHeight="true" outlineLevel="0" collapsed="false">
      <c r="A9" s="15" t="s">
        <v>111</v>
      </c>
      <c r="B9" s="19" t="n">
        <v>46034</v>
      </c>
      <c r="C9" s="15" t="s">
        <v>110</v>
      </c>
      <c r="D9" s="15" t="s">
        <v>107</v>
      </c>
      <c r="E9" s="15" t="s">
        <v>86</v>
      </c>
      <c r="F9" s="15" t="n">
        <v>5</v>
      </c>
      <c r="G9" s="20" t="str">
        <f aca="false">IFERROR(INDEX(Catálogo!$B$5:$B$16,MATCH(E9,Catálogo!$A$5:$A$16,0)),"CÓDIGO NO EXISTE")</f>
        <v>Disco SSD 1TB</v>
      </c>
      <c r="H9" s="21" t="n">
        <f aca="false">IFERROR(INDEX(Catálogo!$D$5:$D$16,MATCH(E9,Catálogo!$A$5:$A$16,0)),0)</f>
        <v>390000</v>
      </c>
      <c r="I9" s="21" t="n">
        <f aca="false">IF(OR(H9=0,G9="CÓDIGO NO EXISTE"),0,F9*H9*(1-IFERROR(VLOOKUP(INDEX(Catálogo!$C$5:$C$16,MATCH(E9,Catálogo!$A$5:$A$16,0)),Catálogo!$I$6:$J$11,2,FALSE()),0)))</f>
        <v>1891500</v>
      </c>
    </row>
    <row r="10" customFormat="false" ht="15" hidden="false" customHeight="true" outlineLevel="0" collapsed="false">
      <c r="A10" s="15" t="s">
        <v>112</v>
      </c>
      <c r="B10" s="19" t="n">
        <v>46036</v>
      </c>
      <c r="C10" s="15" t="s">
        <v>110</v>
      </c>
      <c r="D10" s="15" t="s">
        <v>107</v>
      </c>
      <c r="E10" s="15" t="s">
        <v>86</v>
      </c>
      <c r="F10" s="15" t="n">
        <v>1</v>
      </c>
      <c r="G10" s="20" t="str">
        <f aca="false">IFERROR(INDEX(Catálogo!$B$5:$B$16,MATCH(E10,Catálogo!$A$5:$A$16,0)),"CÓDIGO NO EXISTE")</f>
        <v>Disco SSD 1TB</v>
      </c>
      <c r="H10" s="21" t="n">
        <f aca="false">IFERROR(INDEX(Catálogo!$D$5:$D$16,MATCH(E10,Catálogo!$A$5:$A$16,0)),0)</f>
        <v>390000</v>
      </c>
      <c r="I10" s="21" t="n">
        <f aca="false">IF(OR(H10=0,G10="CÓDIGO NO EXISTE"),0,F10*H10*(1-IFERROR(VLOOKUP(INDEX(Catálogo!$C$5:$C$16,MATCH(E10,Catálogo!$A$5:$A$16,0)),Catálogo!$I$6:$J$11,2,FALSE()),0)))</f>
        <v>378300</v>
      </c>
    </row>
    <row r="11" customFormat="false" ht="15" hidden="false" customHeight="true" outlineLevel="0" collapsed="false">
      <c r="A11" s="15" t="s">
        <v>113</v>
      </c>
      <c r="B11" s="19" t="n">
        <v>46040</v>
      </c>
      <c r="C11" s="15" t="s">
        <v>114</v>
      </c>
      <c r="D11" s="15" t="s">
        <v>115</v>
      </c>
      <c r="E11" s="15" t="s">
        <v>63</v>
      </c>
      <c r="F11" s="15" t="n">
        <v>5</v>
      </c>
      <c r="G11" s="20" t="str">
        <f aca="false">IFERROR(INDEX(Catálogo!$B$5:$B$16,MATCH(E11,Catálogo!$A$5:$A$16,0)),"CÓDIGO NO EXISTE")</f>
        <v>Teclado mecánico</v>
      </c>
      <c r="H11" s="21" t="n">
        <f aca="false">IFERROR(INDEX(Catálogo!$D$5:$D$16,MATCH(E11,Catálogo!$A$5:$A$16,0)),0)</f>
        <v>185000</v>
      </c>
      <c r="I11" s="21" t="n">
        <f aca="false">IF(OR(H11=0,G11="CÓDIGO NO EXISTE"),0,F11*H11*(1-IFERROR(VLOOKUP(INDEX(Catálogo!$C$5:$C$16,MATCH(E11,Catálogo!$A$5:$A$16,0)),Catálogo!$I$6:$J$11,2,FALSE()),0)))</f>
        <v>878750</v>
      </c>
    </row>
    <row r="12" customFormat="false" ht="15" hidden="false" customHeight="true" outlineLevel="0" collapsed="false">
      <c r="A12" s="15" t="s">
        <v>116</v>
      </c>
      <c r="B12" s="19" t="n">
        <v>46041</v>
      </c>
      <c r="C12" s="15" t="s">
        <v>110</v>
      </c>
      <c r="D12" s="15" t="s">
        <v>107</v>
      </c>
      <c r="E12" s="15" t="s">
        <v>75</v>
      </c>
      <c r="F12" s="15" t="n">
        <v>4</v>
      </c>
      <c r="G12" s="20" t="str">
        <f aca="false">IFERROR(INDEX(Catálogo!$B$5:$B$16,MATCH(E12,Catálogo!$A$5:$A$16,0)),"CÓDIGO NO EXISTE")</f>
        <v>Portátil 14"</v>
      </c>
      <c r="H12" s="21" t="n">
        <f aca="false">IFERROR(INDEX(Catálogo!$D$5:$D$16,MATCH(E12,Catálogo!$A$5:$A$16,0)),0)</f>
        <v>3200000</v>
      </c>
      <c r="I12" s="21" t="n">
        <f aca="false">IF(OR(H12=0,G12="CÓDIGO NO EXISTE"),0,F12*H12*(1-IFERROR(VLOOKUP(INDEX(Catálogo!$C$5:$C$16,MATCH(E12,Catálogo!$A$5:$A$16,0)),Catálogo!$I$6:$J$11,2,FALSE()),0)))</f>
        <v>11520000</v>
      </c>
    </row>
    <row r="13" customFormat="false" ht="15" hidden="false" customHeight="true" outlineLevel="0" collapsed="false">
      <c r="A13" s="15" t="s">
        <v>117</v>
      </c>
      <c r="B13" s="19" t="n">
        <v>46044</v>
      </c>
      <c r="C13" s="15" t="s">
        <v>103</v>
      </c>
      <c r="D13" s="15" t="s">
        <v>104</v>
      </c>
      <c r="E13" s="15" t="s">
        <v>84</v>
      </c>
      <c r="F13" s="15" t="n">
        <v>4</v>
      </c>
      <c r="G13" s="20" t="str">
        <f aca="false">IFERROR(INDEX(Catálogo!$B$5:$B$16,MATCH(E13,Catálogo!$A$5:$A$16,0)),"CÓDIGO NO EXISTE")</f>
        <v>Parlantes 2.1</v>
      </c>
      <c r="H13" s="21" t="n">
        <f aca="false">IFERROR(INDEX(Catálogo!$D$5:$D$16,MATCH(E13,Catálogo!$A$5:$A$16,0)),0)</f>
        <v>230000</v>
      </c>
      <c r="I13" s="21" t="n">
        <f aca="false">IF(OR(H13=0,G13="CÓDIGO NO EXISTE"),0,F13*H13*(1-IFERROR(VLOOKUP(INDEX(Catálogo!$C$5:$C$16,MATCH(E13,Catálogo!$A$5:$A$16,0)),Catálogo!$I$6:$J$11,2,FALSE()),0)))</f>
        <v>920000</v>
      </c>
    </row>
    <row r="14" customFormat="false" ht="15" hidden="false" customHeight="true" outlineLevel="0" collapsed="false">
      <c r="A14" s="15" t="s">
        <v>118</v>
      </c>
      <c r="B14" s="19" t="n">
        <v>46045</v>
      </c>
      <c r="C14" s="15" t="s">
        <v>103</v>
      </c>
      <c r="D14" s="15" t="s">
        <v>104</v>
      </c>
      <c r="E14" s="15" t="s">
        <v>69</v>
      </c>
      <c r="F14" s="15" t="n">
        <v>2</v>
      </c>
      <c r="G14" s="20" t="str">
        <f aca="false">IFERROR(INDEX(Catálogo!$B$5:$B$16,MATCH(E14,Catálogo!$A$5:$A$16,0)),"CÓDIGO NO EXISTE")</f>
        <v>Monitor 24"</v>
      </c>
      <c r="H14" s="21" t="n">
        <f aca="false">IFERROR(INDEX(Catálogo!$D$5:$D$16,MATCH(E14,Catálogo!$A$5:$A$16,0)),0)</f>
        <v>690000</v>
      </c>
      <c r="I14" s="21" t="n">
        <f aca="false">IF(OR(H14=0,G14="CÓDIGO NO EXISTE"),0,F14*H14*(1-IFERROR(VLOOKUP(INDEX(Catálogo!$C$5:$C$16,MATCH(E14,Catálogo!$A$5:$A$16,0)),Catálogo!$I$6:$J$11,2,FALSE()),0)))</f>
        <v>1269600</v>
      </c>
    </row>
    <row r="15" customFormat="false" ht="15" hidden="false" customHeight="true" outlineLevel="0" collapsed="false">
      <c r="A15" s="15" t="s">
        <v>119</v>
      </c>
      <c r="B15" s="19" t="n">
        <v>46045</v>
      </c>
      <c r="C15" s="15" t="s">
        <v>103</v>
      </c>
      <c r="D15" s="15" t="s">
        <v>104</v>
      </c>
      <c r="E15" s="15" t="s">
        <v>69</v>
      </c>
      <c r="F15" s="15" t="n">
        <v>2</v>
      </c>
      <c r="G15" s="20" t="str">
        <f aca="false">IFERROR(INDEX(Catálogo!$B$5:$B$16,MATCH(E15,Catálogo!$A$5:$A$16,0)),"CÓDIGO NO EXISTE")</f>
        <v>Monitor 24"</v>
      </c>
      <c r="H15" s="21" t="n">
        <f aca="false">IFERROR(INDEX(Catálogo!$D$5:$D$16,MATCH(E15,Catálogo!$A$5:$A$16,0)),0)</f>
        <v>690000</v>
      </c>
      <c r="I15" s="21" t="n">
        <f aca="false">IF(OR(H15=0,G15="CÓDIGO NO EXISTE"),0,F15*H15*(1-IFERROR(VLOOKUP(INDEX(Catálogo!$C$5:$C$16,MATCH(E15,Catálogo!$A$5:$A$16,0)),Catálogo!$I$6:$J$11,2,FALSE()),0)))</f>
        <v>1269600</v>
      </c>
    </row>
    <row r="16" customFormat="false" ht="15" hidden="false" customHeight="true" outlineLevel="0" collapsed="false">
      <c r="A16" s="15" t="s">
        <v>120</v>
      </c>
      <c r="B16" s="19" t="n">
        <v>46050</v>
      </c>
      <c r="C16" s="15" t="s">
        <v>114</v>
      </c>
      <c r="D16" s="15" t="s">
        <v>115</v>
      </c>
      <c r="E16" s="15" t="s">
        <v>88</v>
      </c>
      <c r="F16" s="15" t="n">
        <v>6</v>
      </c>
      <c r="G16" s="20" t="str">
        <f aca="false">IFERROR(INDEX(Catálogo!$B$5:$B$16,MATCH(E16,Catálogo!$A$5:$A$16,0)),"CÓDIGO NO EXISTE")</f>
        <v>Memoria USB 128GB</v>
      </c>
      <c r="H16" s="21" t="n">
        <f aca="false">IFERROR(INDEX(Catálogo!$D$5:$D$16,MATCH(E16,Catálogo!$A$5:$A$16,0)),0)</f>
        <v>58000</v>
      </c>
      <c r="I16" s="21" t="n">
        <f aca="false">IF(OR(H16=0,G16="CÓDIGO NO EXISTE"),0,F16*H16*(1-IFERROR(VLOOKUP(INDEX(Catálogo!$C$5:$C$16,MATCH(E16,Catálogo!$A$5:$A$16,0)),Catálogo!$I$6:$J$11,2,FALSE()),0)))</f>
        <v>337560</v>
      </c>
    </row>
    <row r="17" customFormat="false" ht="15" hidden="false" customHeight="true" outlineLevel="0" collapsed="false">
      <c r="A17" s="15" t="s">
        <v>121</v>
      </c>
      <c r="B17" s="19" t="n">
        <v>46054</v>
      </c>
      <c r="C17" s="15" t="s">
        <v>114</v>
      </c>
      <c r="D17" s="15" t="s">
        <v>115</v>
      </c>
      <c r="E17" s="15" t="s">
        <v>81</v>
      </c>
      <c r="F17" s="15" t="n">
        <v>2</v>
      </c>
      <c r="G17" s="20" t="str">
        <f aca="false">IFERROR(INDEX(Catálogo!$B$5:$B$16,MATCH(E17,Catálogo!$A$5:$A$16,0)),"CÓDIGO NO EXISTE")</f>
        <v>Diadema USB</v>
      </c>
      <c r="H17" s="21" t="n">
        <f aca="false">IFERROR(INDEX(Catálogo!$D$5:$D$16,MATCH(E17,Catálogo!$A$5:$A$16,0)),0)</f>
        <v>145000</v>
      </c>
      <c r="I17" s="21" t="n">
        <f aca="false">IF(OR(H17=0,G17="CÓDIGO NO EXISTE"),0,F17*H17*(1-IFERROR(VLOOKUP(INDEX(Catálogo!$C$5:$C$16,MATCH(E17,Catálogo!$A$5:$A$16,0)),Catálogo!$I$6:$J$11,2,FALSE()),0)))</f>
        <v>290000</v>
      </c>
    </row>
    <row r="18" customFormat="false" ht="15" hidden="false" customHeight="true" outlineLevel="0" collapsed="false">
      <c r="A18" s="15" t="s">
        <v>122</v>
      </c>
      <c r="B18" s="19" t="n">
        <v>46055</v>
      </c>
      <c r="C18" s="15" t="s">
        <v>103</v>
      </c>
      <c r="D18" s="15" t="s">
        <v>104</v>
      </c>
      <c r="E18" s="15" t="s">
        <v>90</v>
      </c>
      <c r="F18" s="15" t="n">
        <v>6</v>
      </c>
      <c r="G18" s="20" t="str">
        <f aca="false">IFERROR(INDEX(Catálogo!$B$5:$B$16,MATCH(E18,Catálogo!$A$5:$A$16,0)),"CÓDIGO NO EXISTE")</f>
        <v>Cámara web HD</v>
      </c>
      <c r="H18" s="21" t="n">
        <f aca="false">IFERROR(INDEX(Catálogo!$D$5:$D$16,MATCH(E18,Catálogo!$A$5:$A$16,0)),0)</f>
        <v>165000</v>
      </c>
      <c r="I18" s="21" t="n">
        <f aca="false">IF(OR(H18=0,G18="CÓDIGO NO EXISTE"),0,F18*H18*(1-IFERROR(VLOOKUP(INDEX(Catálogo!$C$5:$C$16,MATCH(E18,Catálogo!$A$5:$A$16,0)),Catálogo!$I$6:$J$11,2,FALSE()),0)))</f>
        <v>940500</v>
      </c>
    </row>
    <row r="19" customFormat="false" ht="15" hidden="false" customHeight="true" outlineLevel="0" collapsed="false">
      <c r="A19" s="15" t="s">
        <v>123</v>
      </c>
      <c r="B19" s="19" t="n">
        <v>46056</v>
      </c>
      <c r="C19" s="15" t="s">
        <v>114</v>
      </c>
      <c r="D19" s="15" t="s">
        <v>115</v>
      </c>
      <c r="E19" s="15" t="s">
        <v>88</v>
      </c>
      <c r="F19" s="15" t="n">
        <v>6</v>
      </c>
      <c r="G19" s="20" t="str">
        <f aca="false">IFERROR(INDEX(Catálogo!$B$5:$B$16,MATCH(E19,Catálogo!$A$5:$A$16,0)),"CÓDIGO NO EXISTE")</f>
        <v>Memoria USB 128GB</v>
      </c>
      <c r="H19" s="21" t="n">
        <f aca="false">IFERROR(INDEX(Catálogo!$D$5:$D$16,MATCH(E19,Catálogo!$A$5:$A$16,0)),0)</f>
        <v>58000</v>
      </c>
      <c r="I19" s="21" t="n">
        <f aca="false">IF(OR(H19=0,G19="CÓDIGO NO EXISTE"),0,F19*H19*(1-IFERROR(VLOOKUP(INDEX(Catálogo!$C$5:$C$16,MATCH(E19,Catálogo!$A$5:$A$16,0)),Catálogo!$I$6:$J$11,2,FALSE()),0)))</f>
        <v>337560</v>
      </c>
    </row>
    <row r="20" customFormat="false" ht="15" hidden="false" customHeight="true" outlineLevel="0" collapsed="false">
      <c r="A20" s="15" t="s">
        <v>124</v>
      </c>
      <c r="B20" s="19" t="n">
        <v>46060</v>
      </c>
      <c r="C20" s="15" t="s">
        <v>114</v>
      </c>
      <c r="D20" s="15" t="s">
        <v>115</v>
      </c>
      <c r="E20" s="15" t="s">
        <v>67</v>
      </c>
      <c r="F20" s="15" t="n">
        <v>5</v>
      </c>
      <c r="G20" s="20" t="str">
        <f aca="false">IFERROR(INDEX(Catálogo!$B$5:$B$16,MATCH(E20,Catálogo!$A$5:$A$16,0)),"CÓDIGO NO EXISTE")</f>
        <v>Mouse inalámbrico</v>
      </c>
      <c r="H20" s="21" t="n">
        <f aca="false">IFERROR(INDEX(Catálogo!$D$5:$D$16,MATCH(E20,Catálogo!$A$5:$A$16,0)),0)</f>
        <v>72000</v>
      </c>
      <c r="I20" s="21" t="n">
        <f aca="false">IF(OR(H20=0,G20="CÓDIGO NO EXISTE"),0,F20*H20*(1-IFERROR(VLOOKUP(INDEX(Catálogo!$C$5:$C$16,MATCH(E20,Catálogo!$A$5:$A$16,0)),Catálogo!$I$6:$J$11,2,FALSE()),0)))</f>
        <v>342000</v>
      </c>
    </row>
    <row r="21" customFormat="false" ht="15" hidden="false" customHeight="true" outlineLevel="0" collapsed="false">
      <c r="A21" s="15" t="s">
        <v>125</v>
      </c>
      <c r="B21" s="19" t="n">
        <v>46065</v>
      </c>
      <c r="C21" s="15" t="s">
        <v>114</v>
      </c>
      <c r="D21" s="15" t="s">
        <v>115</v>
      </c>
      <c r="E21" s="15" t="s">
        <v>63</v>
      </c>
      <c r="F21" s="15" t="n">
        <v>2</v>
      </c>
      <c r="G21" s="20" t="str">
        <f aca="false">IFERROR(INDEX(Catálogo!$B$5:$B$16,MATCH(E21,Catálogo!$A$5:$A$16,0)),"CÓDIGO NO EXISTE")</f>
        <v>Teclado mecánico</v>
      </c>
      <c r="H21" s="21" t="n">
        <f aca="false">IFERROR(INDEX(Catálogo!$D$5:$D$16,MATCH(E21,Catálogo!$A$5:$A$16,0)),0)</f>
        <v>185000</v>
      </c>
      <c r="I21" s="21" t="n">
        <f aca="false">IF(OR(H21=0,G21="CÓDIGO NO EXISTE"),0,F21*H21*(1-IFERROR(VLOOKUP(INDEX(Catálogo!$C$5:$C$16,MATCH(E21,Catálogo!$A$5:$A$16,0)),Catálogo!$I$6:$J$11,2,FALSE()),0)))</f>
        <v>351500</v>
      </c>
    </row>
    <row r="22" customFormat="false" ht="15" hidden="false" customHeight="true" outlineLevel="0" collapsed="false">
      <c r="A22" s="15" t="s">
        <v>126</v>
      </c>
      <c r="B22" s="19" t="n">
        <v>46070</v>
      </c>
      <c r="C22" s="15" t="s">
        <v>103</v>
      </c>
      <c r="D22" s="15" t="s">
        <v>104</v>
      </c>
      <c r="E22" s="15" t="s">
        <v>67</v>
      </c>
      <c r="F22" s="15" t="n">
        <v>5</v>
      </c>
      <c r="G22" s="20" t="str">
        <f aca="false">IFERROR(INDEX(Catálogo!$B$5:$B$16,MATCH(E22,Catálogo!$A$5:$A$16,0)),"CÓDIGO NO EXISTE")</f>
        <v>Mouse inalámbrico</v>
      </c>
      <c r="H22" s="21" t="n">
        <f aca="false">IFERROR(INDEX(Catálogo!$D$5:$D$16,MATCH(E22,Catálogo!$A$5:$A$16,0)),0)</f>
        <v>72000</v>
      </c>
      <c r="I22" s="21" t="n">
        <f aca="false">IF(OR(H22=0,G22="CÓDIGO NO EXISTE"),0,F22*H22*(1-IFERROR(VLOOKUP(INDEX(Catálogo!$C$5:$C$16,MATCH(E22,Catálogo!$A$5:$A$16,0)),Catálogo!$I$6:$J$11,2,FALSE()),0)))</f>
        <v>342000</v>
      </c>
    </row>
    <row r="23" customFormat="false" ht="15" hidden="false" customHeight="true" outlineLevel="0" collapsed="false">
      <c r="A23" s="15" t="s">
        <v>127</v>
      </c>
      <c r="B23" s="19" t="n">
        <v>46072</v>
      </c>
      <c r="C23" s="15" t="s">
        <v>128</v>
      </c>
      <c r="D23" s="15" t="s">
        <v>129</v>
      </c>
      <c r="E23" s="15" t="s">
        <v>63</v>
      </c>
      <c r="F23" s="15" t="n">
        <v>6</v>
      </c>
      <c r="G23" s="20" t="str">
        <f aca="false">IFERROR(INDEX(Catálogo!$B$5:$B$16,MATCH(E23,Catálogo!$A$5:$A$16,0)),"CÓDIGO NO EXISTE")</f>
        <v>Teclado mecánico</v>
      </c>
      <c r="H23" s="21" t="n">
        <f aca="false">IFERROR(INDEX(Catálogo!$D$5:$D$16,MATCH(E23,Catálogo!$A$5:$A$16,0)),0)</f>
        <v>185000</v>
      </c>
      <c r="I23" s="21" t="n">
        <f aca="false">IF(OR(H23=0,G23="CÓDIGO NO EXISTE"),0,F23*H23*(1-IFERROR(VLOOKUP(INDEX(Catálogo!$C$5:$C$16,MATCH(E23,Catálogo!$A$5:$A$16,0)),Catálogo!$I$6:$J$11,2,FALSE()),0)))</f>
        <v>1054500</v>
      </c>
    </row>
    <row r="24" customFormat="false" ht="15" hidden="false" customHeight="true" outlineLevel="0" collapsed="false">
      <c r="A24" s="15" t="s">
        <v>130</v>
      </c>
      <c r="B24" s="19" t="n">
        <v>46075</v>
      </c>
      <c r="C24" s="15" t="s">
        <v>106</v>
      </c>
      <c r="D24" s="15" t="s">
        <v>107</v>
      </c>
      <c r="E24" s="15" t="s">
        <v>69</v>
      </c>
      <c r="F24" s="15" t="n">
        <v>4</v>
      </c>
      <c r="G24" s="20" t="str">
        <f aca="false">IFERROR(INDEX(Catálogo!$B$5:$B$16,MATCH(E24,Catálogo!$A$5:$A$16,0)),"CÓDIGO NO EXISTE")</f>
        <v>Monitor 24"</v>
      </c>
      <c r="H24" s="21" t="n">
        <f aca="false">IFERROR(INDEX(Catálogo!$D$5:$D$16,MATCH(E24,Catálogo!$A$5:$A$16,0)),0)</f>
        <v>690000</v>
      </c>
      <c r="I24" s="21" t="n">
        <f aca="false">IF(OR(H24=0,G24="CÓDIGO NO EXISTE"),0,F24*H24*(1-IFERROR(VLOOKUP(INDEX(Catálogo!$C$5:$C$16,MATCH(E24,Catálogo!$A$5:$A$16,0)),Catálogo!$I$6:$J$11,2,FALSE()),0)))</f>
        <v>2539200</v>
      </c>
    </row>
    <row r="25" customFormat="false" ht="15" hidden="false" customHeight="true" outlineLevel="0" collapsed="false">
      <c r="A25" s="15" t="s">
        <v>131</v>
      </c>
      <c r="B25" s="19" t="n">
        <v>46075</v>
      </c>
      <c r="C25" s="15" t="s">
        <v>114</v>
      </c>
      <c r="D25" s="15" t="s">
        <v>115</v>
      </c>
      <c r="E25" s="15" t="s">
        <v>84</v>
      </c>
      <c r="F25" s="15" t="n">
        <v>3</v>
      </c>
      <c r="G25" s="20" t="str">
        <f aca="false">IFERROR(INDEX(Catálogo!$B$5:$B$16,MATCH(E25,Catálogo!$A$5:$A$16,0)),"CÓDIGO NO EXISTE")</f>
        <v>Parlantes 2.1</v>
      </c>
      <c r="H25" s="21" t="n">
        <f aca="false">IFERROR(INDEX(Catálogo!$D$5:$D$16,MATCH(E25,Catálogo!$A$5:$A$16,0)),0)</f>
        <v>230000</v>
      </c>
      <c r="I25" s="21" t="n">
        <f aca="false">IF(OR(H25=0,G25="CÓDIGO NO EXISTE"),0,F25*H25*(1-IFERROR(VLOOKUP(INDEX(Catálogo!$C$5:$C$16,MATCH(E25,Catálogo!$A$5:$A$16,0)),Catálogo!$I$6:$J$11,2,FALSE()),0)))</f>
        <v>690000</v>
      </c>
    </row>
    <row r="26" customFormat="false" ht="15" hidden="false" customHeight="true" outlineLevel="0" collapsed="false">
      <c r="A26" s="15" t="s">
        <v>132</v>
      </c>
      <c r="B26" s="19" t="n">
        <v>46076</v>
      </c>
      <c r="C26" s="15" t="s">
        <v>106</v>
      </c>
      <c r="D26" s="15" t="s">
        <v>107</v>
      </c>
      <c r="E26" s="15" t="s">
        <v>90</v>
      </c>
      <c r="F26" s="15" t="n">
        <v>5</v>
      </c>
      <c r="G26" s="20" t="str">
        <f aca="false">IFERROR(INDEX(Catálogo!$B$5:$B$16,MATCH(E26,Catálogo!$A$5:$A$16,0)),"CÓDIGO NO EXISTE")</f>
        <v>Cámara web HD</v>
      </c>
      <c r="H26" s="21" t="n">
        <f aca="false">IFERROR(INDEX(Catálogo!$D$5:$D$16,MATCH(E26,Catálogo!$A$5:$A$16,0)),0)</f>
        <v>165000</v>
      </c>
      <c r="I26" s="21" t="n">
        <f aca="false">IF(OR(H26=0,G26="CÓDIGO NO EXISTE"),0,F26*H26*(1-IFERROR(VLOOKUP(INDEX(Catálogo!$C$5:$C$16,MATCH(E26,Catálogo!$A$5:$A$16,0)),Catálogo!$I$6:$J$11,2,FALSE()),0)))</f>
        <v>783750</v>
      </c>
    </row>
    <row r="27" customFormat="false" ht="15" hidden="false" customHeight="true" outlineLevel="0" collapsed="false">
      <c r="A27" s="15" t="s">
        <v>133</v>
      </c>
      <c r="B27" s="19" t="n">
        <v>46077</v>
      </c>
      <c r="C27" s="15" t="s">
        <v>114</v>
      </c>
      <c r="D27" s="15" t="s">
        <v>115</v>
      </c>
      <c r="E27" s="15" t="s">
        <v>81</v>
      </c>
      <c r="F27" s="15" t="n">
        <v>2</v>
      </c>
      <c r="G27" s="20" t="str">
        <f aca="false">IFERROR(INDEX(Catálogo!$B$5:$B$16,MATCH(E27,Catálogo!$A$5:$A$16,0)),"CÓDIGO NO EXISTE")</f>
        <v>Diadema USB</v>
      </c>
      <c r="H27" s="21" t="n">
        <f aca="false">IFERROR(INDEX(Catálogo!$D$5:$D$16,MATCH(E27,Catálogo!$A$5:$A$16,0)),0)</f>
        <v>145000</v>
      </c>
      <c r="I27" s="21" t="n">
        <f aca="false">IF(OR(H27=0,G27="CÓDIGO NO EXISTE"),0,F27*H27*(1-IFERROR(VLOOKUP(INDEX(Catálogo!$C$5:$C$16,MATCH(E27,Catálogo!$A$5:$A$16,0)),Catálogo!$I$6:$J$11,2,FALSE()),0)))</f>
        <v>290000</v>
      </c>
    </row>
    <row r="28" customFormat="false" ht="15" hidden="false" customHeight="true" outlineLevel="0" collapsed="false">
      <c r="A28" s="15" t="s">
        <v>134</v>
      </c>
      <c r="B28" s="19" t="n">
        <v>46078</v>
      </c>
      <c r="C28" s="15" t="s">
        <v>110</v>
      </c>
      <c r="D28" s="15" t="s">
        <v>107</v>
      </c>
      <c r="E28" s="15" t="s">
        <v>67</v>
      </c>
      <c r="F28" s="15" t="n">
        <v>4</v>
      </c>
      <c r="G28" s="20" t="str">
        <f aca="false">IFERROR(INDEX(Catálogo!$B$5:$B$16,MATCH(E28,Catálogo!$A$5:$A$16,0)),"CÓDIGO NO EXISTE")</f>
        <v>Mouse inalámbrico</v>
      </c>
      <c r="H28" s="21" t="n">
        <f aca="false">IFERROR(INDEX(Catálogo!$D$5:$D$16,MATCH(E28,Catálogo!$A$5:$A$16,0)),0)</f>
        <v>72000</v>
      </c>
      <c r="I28" s="21" t="n">
        <f aca="false">IF(OR(H28=0,G28="CÓDIGO NO EXISTE"),0,F28*H28*(1-IFERROR(VLOOKUP(INDEX(Catálogo!$C$5:$C$16,MATCH(E28,Catálogo!$A$5:$A$16,0)),Catálogo!$I$6:$J$11,2,FALSE()),0)))</f>
        <v>273600</v>
      </c>
    </row>
    <row r="29" customFormat="false" ht="15" hidden="false" customHeight="true" outlineLevel="0" collapsed="false">
      <c r="A29" s="15" t="s">
        <v>135</v>
      </c>
      <c r="B29" s="19" t="n">
        <v>46079</v>
      </c>
      <c r="C29" s="15" t="s">
        <v>128</v>
      </c>
      <c r="D29" s="15" t="s">
        <v>129</v>
      </c>
      <c r="E29" s="15" t="s">
        <v>69</v>
      </c>
      <c r="F29" s="15" t="n">
        <v>6</v>
      </c>
      <c r="G29" s="20" t="str">
        <f aca="false">IFERROR(INDEX(Catálogo!$B$5:$B$16,MATCH(E29,Catálogo!$A$5:$A$16,0)),"CÓDIGO NO EXISTE")</f>
        <v>Monitor 24"</v>
      </c>
      <c r="H29" s="21" t="n">
        <f aca="false">IFERROR(INDEX(Catálogo!$D$5:$D$16,MATCH(E29,Catálogo!$A$5:$A$16,0)),0)</f>
        <v>690000</v>
      </c>
      <c r="I29" s="21" t="n">
        <f aca="false">IF(OR(H29=0,G29="CÓDIGO NO EXISTE"),0,F29*H29*(1-IFERROR(VLOOKUP(INDEX(Catálogo!$C$5:$C$16,MATCH(E29,Catálogo!$A$5:$A$16,0)),Catálogo!$I$6:$J$11,2,FALSE()),0)))</f>
        <v>3808800</v>
      </c>
    </row>
    <row r="30" customFormat="false" ht="15" hidden="false" customHeight="true" outlineLevel="0" collapsed="false">
      <c r="A30" s="15" t="s">
        <v>136</v>
      </c>
      <c r="B30" s="19" t="n">
        <v>46081</v>
      </c>
      <c r="C30" s="15" t="s">
        <v>114</v>
      </c>
      <c r="D30" s="15" t="s">
        <v>115</v>
      </c>
      <c r="E30" s="15" t="s">
        <v>86</v>
      </c>
      <c r="F30" s="15" t="n">
        <v>5</v>
      </c>
      <c r="G30" s="20" t="str">
        <f aca="false">IFERROR(INDEX(Catálogo!$B$5:$B$16,MATCH(E30,Catálogo!$A$5:$A$16,0)),"CÓDIGO NO EXISTE")</f>
        <v>Disco SSD 1TB</v>
      </c>
      <c r="H30" s="21" t="n">
        <f aca="false">IFERROR(INDEX(Catálogo!$D$5:$D$16,MATCH(E30,Catálogo!$A$5:$A$16,0)),0)</f>
        <v>390000</v>
      </c>
      <c r="I30" s="21" t="n">
        <f aca="false">IF(OR(H30=0,G30="CÓDIGO NO EXISTE"),0,F30*H30*(1-IFERROR(VLOOKUP(INDEX(Catálogo!$C$5:$C$16,MATCH(E30,Catálogo!$A$5:$A$16,0)),Catálogo!$I$6:$J$11,2,FALSE()),0)))</f>
        <v>1891500</v>
      </c>
    </row>
    <row r="31" customFormat="false" ht="15" hidden="false" customHeight="true" outlineLevel="0" collapsed="false">
      <c r="A31" s="15" t="s">
        <v>137</v>
      </c>
      <c r="B31" s="19" t="n">
        <v>46082</v>
      </c>
      <c r="C31" s="15" t="s">
        <v>106</v>
      </c>
      <c r="D31" s="15" t="s">
        <v>107</v>
      </c>
      <c r="E31" s="15" t="s">
        <v>138</v>
      </c>
      <c r="F31" s="15" t="n">
        <v>2</v>
      </c>
      <c r="G31" s="20" t="str">
        <f aca="false">IFERROR(INDEX(Catálogo!$B$5:$B$16,MATCH(E31,Catálogo!$A$5:$A$16,0)),"CÓDIGO NO EXISTE")</f>
        <v>CÓDIGO NO EXISTE</v>
      </c>
      <c r="H31" s="21" t="n">
        <f aca="false">IFERROR(INDEX(Catálogo!$D$5:$D$16,MATCH(E31,Catálogo!$A$5:$A$16,0)),0)</f>
        <v>0</v>
      </c>
      <c r="I31" s="21" t="n">
        <f aca="false">IF(OR(H31=0,G31="CÓDIGO NO EXISTE"),0,F31*H31*(1-IFERROR(VLOOKUP(INDEX(Catálogo!$C$5:$C$16,MATCH(E31,Catálogo!$A$5:$A$16,0)),Catálogo!$I$6:$J$11,2,FALSE()),0)))</f>
        <v>0</v>
      </c>
    </row>
    <row r="32" customFormat="false" ht="15" hidden="false" customHeight="true" outlineLevel="0" collapsed="false">
      <c r="A32" s="15" t="s">
        <v>139</v>
      </c>
      <c r="B32" s="19" t="n">
        <v>46085</v>
      </c>
      <c r="C32" s="15" t="s">
        <v>106</v>
      </c>
      <c r="D32" s="15" t="s">
        <v>107</v>
      </c>
      <c r="E32" s="15" t="s">
        <v>92</v>
      </c>
      <c r="F32" s="15" t="n">
        <v>2</v>
      </c>
      <c r="G32" s="20" t="str">
        <f aca="false">IFERROR(INDEX(Catálogo!$B$5:$B$16,MATCH(E32,Catálogo!$A$5:$A$16,0)),"CÓDIGO NO EXISTE")</f>
        <v>Base refrigerante</v>
      </c>
      <c r="H32" s="21" t="n">
        <f aca="false">IFERROR(INDEX(Catálogo!$D$5:$D$16,MATCH(E32,Catálogo!$A$5:$A$16,0)),0)</f>
        <v>89000</v>
      </c>
      <c r="I32" s="21" t="n">
        <f aca="false">IF(OR(H32=0,G32="CÓDIGO NO EXISTE"),0,F32*H32*(1-IFERROR(VLOOKUP(INDEX(Catálogo!$C$5:$C$16,MATCH(E32,Catálogo!$A$5:$A$16,0)),Catálogo!$I$6:$J$11,2,FALSE()),0)))</f>
        <v>156640</v>
      </c>
    </row>
    <row r="33" customFormat="false" ht="15" hidden="false" customHeight="true" outlineLevel="0" collapsed="false">
      <c r="A33" s="15" t="s">
        <v>140</v>
      </c>
      <c r="B33" s="19" t="n">
        <v>46087</v>
      </c>
      <c r="C33" s="15" t="s">
        <v>106</v>
      </c>
      <c r="D33" s="15" t="s">
        <v>107</v>
      </c>
      <c r="E33" s="15" t="s">
        <v>81</v>
      </c>
      <c r="F33" s="15" t="n">
        <v>4</v>
      </c>
      <c r="G33" s="20" t="str">
        <f aca="false">IFERROR(INDEX(Catálogo!$B$5:$B$16,MATCH(E33,Catálogo!$A$5:$A$16,0)),"CÓDIGO NO EXISTE")</f>
        <v>Diadema USB</v>
      </c>
      <c r="H33" s="21" t="n">
        <f aca="false">IFERROR(INDEX(Catálogo!$D$5:$D$16,MATCH(E33,Catálogo!$A$5:$A$16,0)),0)</f>
        <v>145000</v>
      </c>
      <c r="I33" s="21" t="n">
        <f aca="false">IF(OR(H33=0,G33="CÓDIGO NO EXISTE"),0,F33*H33*(1-IFERROR(VLOOKUP(INDEX(Catálogo!$C$5:$C$16,MATCH(E33,Catálogo!$A$5:$A$16,0)),Catálogo!$I$6:$J$11,2,FALSE()),0)))</f>
        <v>580000</v>
      </c>
    </row>
    <row r="34" customFormat="false" ht="15" hidden="false" customHeight="true" outlineLevel="0" collapsed="false">
      <c r="A34" s="15" t="s">
        <v>141</v>
      </c>
      <c r="B34" s="19" t="n">
        <v>46090</v>
      </c>
      <c r="C34" s="15" t="s">
        <v>103</v>
      </c>
      <c r="D34" s="15" t="s">
        <v>104</v>
      </c>
      <c r="E34" s="15" t="s">
        <v>92</v>
      </c>
      <c r="F34" s="15" t="n">
        <v>5</v>
      </c>
      <c r="G34" s="20" t="str">
        <f aca="false">IFERROR(INDEX(Catálogo!$B$5:$B$16,MATCH(E34,Catálogo!$A$5:$A$16,0)),"CÓDIGO NO EXISTE")</f>
        <v>Base refrigerante</v>
      </c>
      <c r="H34" s="21" t="n">
        <f aca="false">IFERROR(INDEX(Catálogo!$D$5:$D$16,MATCH(E34,Catálogo!$A$5:$A$16,0)),0)</f>
        <v>89000</v>
      </c>
      <c r="I34" s="21" t="n">
        <f aca="false">IF(OR(H34=0,G34="CÓDIGO NO EXISTE"),0,F34*H34*(1-IFERROR(VLOOKUP(INDEX(Catálogo!$C$5:$C$16,MATCH(E34,Catálogo!$A$5:$A$16,0)),Catálogo!$I$6:$J$11,2,FALSE()),0)))</f>
        <v>391600</v>
      </c>
    </row>
    <row r="35" customFormat="false" ht="15" hidden="false" customHeight="true" outlineLevel="0" collapsed="false">
      <c r="A35" s="15" t="s">
        <v>142</v>
      </c>
      <c r="B35" s="19" t="n">
        <v>46096</v>
      </c>
      <c r="C35" s="15" t="s">
        <v>106</v>
      </c>
      <c r="D35" s="15" t="s">
        <v>107</v>
      </c>
      <c r="E35" s="15" t="s">
        <v>90</v>
      </c>
      <c r="F35" s="15" t="n">
        <v>3</v>
      </c>
      <c r="G35" s="20" t="str">
        <f aca="false">IFERROR(INDEX(Catálogo!$B$5:$B$16,MATCH(E35,Catálogo!$A$5:$A$16,0)),"CÓDIGO NO EXISTE")</f>
        <v>Cámara web HD</v>
      </c>
      <c r="H35" s="21" t="n">
        <f aca="false">IFERROR(INDEX(Catálogo!$D$5:$D$16,MATCH(E35,Catálogo!$A$5:$A$16,0)),0)</f>
        <v>165000</v>
      </c>
      <c r="I35" s="21" t="n">
        <f aca="false">IF(OR(H35=0,G35="CÓDIGO NO EXISTE"),0,F35*H35*(1-IFERROR(VLOOKUP(INDEX(Catálogo!$C$5:$C$16,MATCH(E35,Catálogo!$A$5:$A$16,0)),Catálogo!$I$6:$J$11,2,FALSE()),0)))</f>
        <v>470250</v>
      </c>
    </row>
    <row r="36" customFormat="false" ht="15" hidden="false" customHeight="true" outlineLevel="0" collapsed="false">
      <c r="A36" s="15" t="s">
        <v>143</v>
      </c>
      <c r="B36" s="19" t="n">
        <v>46100</v>
      </c>
      <c r="C36" s="15" t="s">
        <v>114</v>
      </c>
      <c r="D36" s="15" t="s">
        <v>115</v>
      </c>
      <c r="E36" s="15" t="s">
        <v>84</v>
      </c>
      <c r="F36" s="15" t="n">
        <v>3</v>
      </c>
      <c r="G36" s="20" t="str">
        <f aca="false">IFERROR(INDEX(Catálogo!$B$5:$B$16,MATCH(E36,Catálogo!$A$5:$A$16,0)),"CÓDIGO NO EXISTE")</f>
        <v>Parlantes 2.1</v>
      </c>
      <c r="H36" s="21" t="n">
        <f aca="false">IFERROR(INDEX(Catálogo!$D$5:$D$16,MATCH(E36,Catálogo!$A$5:$A$16,0)),0)</f>
        <v>230000</v>
      </c>
      <c r="I36" s="21" t="n">
        <f aca="false">IF(OR(H36=0,G36="CÓDIGO NO EXISTE"),0,F36*H36*(1-IFERROR(VLOOKUP(INDEX(Catálogo!$C$5:$C$16,MATCH(E36,Catálogo!$A$5:$A$16,0)),Catálogo!$I$6:$J$11,2,FALSE()),0)))</f>
        <v>690000</v>
      </c>
    </row>
    <row r="37" customFormat="false" ht="15" hidden="false" customHeight="true" outlineLevel="0" collapsed="false">
      <c r="A37" s="15" t="s">
        <v>144</v>
      </c>
      <c r="B37" s="19" t="n">
        <v>46102</v>
      </c>
      <c r="C37" s="15" t="s">
        <v>114</v>
      </c>
      <c r="D37" s="15" t="s">
        <v>115</v>
      </c>
      <c r="E37" s="15" t="s">
        <v>90</v>
      </c>
      <c r="F37" s="15" t="n">
        <v>2</v>
      </c>
      <c r="G37" s="20" t="str">
        <f aca="false">IFERROR(INDEX(Catálogo!$B$5:$B$16,MATCH(E37,Catálogo!$A$5:$A$16,0)),"CÓDIGO NO EXISTE")</f>
        <v>Cámara web HD</v>
      </c>
      <c r="H37" s="21" t="n">
        <f aca="false">IFERROR(INDEX(Catálogo!$D$5:$D$16,MATCH(E37,Catálogo!$A$5:$A$16,0)),0)</f>
        <v>165000</v>
      </c>
      <c r="I37" s="21" t="n">
        <f aca="false">IF(OR(H37=0,G37="CÓDIGO NO EXISTE"),0,F37*H37*(1-IFERROR(VLOOKUP(INDEX(Catálogo!$C$5:$C$16,MATCH(E37,Catálogo!$A$5:$A$16,0)),Catálogo!$I$6:$J$11,2,FALSE()),0)))</f>
        <v>313500</v>
      </c>
    </row>
    <row r="38" customFormat="false" ht="15" hidden="false" customHeight="true" outlineLevel="0" collapsed="false">
      <c r="A38" s="15" t="s">
        <v>145</v>
      </c>
      <c r="B38" s="19" t="n">
        <v>46103</v>
      </c>
      <c r="C38" s="15" t="s">
        <v>110</v>
      </c>
      <c r="D38" s="15" t="s">
        <v>107</v>
      </c>
      <c r="E38" s="15" t="s">
        <v>69</v>
      </c>
      <c r="F38" s="15" t="n">
        <v>1</v>
      </c>
      <c r="G38" s="20" t="str">
        <f aca="false">IFERROR(INDEX(Catálogo!$B$5:$B$16,MATCH(E38,Catálogo!$A$5:$A$16,0)),"CÓDIGO NO EXISTE")</f>
        <v>Monitor 24"</v>
      </c>
      <c r="H38" s="21" t="n">
        <f aca="false">IFERROR(INDEX(Catálogo!$D$5:$D$16,MATCH(E38,Catálogo!$A$5:$A$16,0)),0)</f>
        <v>690000</v>
      </c>
      <c r="I38" s="21" t="n">
        <f aca="false">IF(OR(H38=0,G38="CÓDIGO NO EXISTE"),0,F38*H38*(1-IFERROR(VLOOKUP(INDEX(Catálogo!$C$5:$C$16,MATCH(E38,Catálogo!$A$5:$A$16,0)),Catálogo!$I$6:$J$11,2,FALSE()),0)))</f>
        <v>634800</v>
      </c>
    </row>
    <row r="39" customFormat="false" ht="15" hidden="false" customHeight="true" outlineLevel="0" collapsed="false">
      <c r="A39" s="15" t="s">
        <v>146</v>
      </c>
      <c r="B39" s="19" t="n">
        <v>46103</v>
      </c>
      <c r="C39" s="15" t="s">
        <v>114</v>
      </c>
      <c r="D39" s="15" t="s">
        <v>115</v>
      </c>
      <c r="E39" s="15" t="s">
        <v>90</v>
      </c>
      <c r="F39" s="15" t="n">
        <v>4</v>
      </c>
      <c r="G39" s="20" t="str">
        <f aca="false">IFERROR(INDEX(Catálogo!$B$5:$B$16,MATCH(E39,Catálogo!$A$5:$A$16,0)),"CÓDIGO NO EXISTE")</f>
        <v>Cámara web HD</v>
      </c>
      <c r="H39" s="21" t="n">
        <f aca="false">IFERROR(INDEX(Catálogo!$D$5:$D$16,MATCH(E39,Catálogo!$A$5:$A$16,0)),0)</f>
        <v>165000</v>
      </c>
      <c r="I39" s="21" t="n">
        <f aca="false">IF(OR(H39=0,G39="CÓDIGO NO EXISTE"),0,F39*H39*(1-IFERROR(VLOOKUP(INDEX(Catálogo!$C$5:$C$16,MATCH(E39,Catálogo!$A$5:$A$16,0)),Catálogo!$I$6:$J$11,2,FALSE()),0)))</f>
        <v>627000</v>
      </c>
    </row>
    <row r="40" customFormat="false" ht="15" hidden="false" customHeight="true" outlineLevel="0" collapsed="false">
      <c r="A40" s="15" t="s">
        <v>147</v>
      </c>
      <c r="B40" s="19" t="n">
        <v>46104</v>
      </c>
      <c r="C40" s="15" t="s">
        <v>128</v>
      </c>
      <c r="D40" s="15" t="s">
        <v>129</v>
      </c>
      <c r="E40" s="15" t="s">
        <v>92</v>
      </c>
      <c r="F40" s="15" t="n">
        <v>3</v>
      </c>
      <c r="G40" s="20" t="str">
        <f aca="false">IFERROR(INDEX(Catálogo!$B$5:$B$16,MATCH(E40,Catálogo!$A$5:$A$16,0)),"CÓDIGO NO EXISTE")</f>
        <v>Base refrigerante</v>
      </c>
      <c r="H40" s="21" t="n">
        <f aca="false">IFERROR(INDEX(Catálogo!$D$5:$D$16,MATCH(E40,Catálogo!$A$5:$A$16,0)),0)</f>
        <v>89000</v>
      </c>
      <c r="I40" s="21" t="n">
        <f aca="false">IF(OR(H40=0,G40="CÓDIGO NO EXISTE"),0,F40*H40*(1-IFERROR(VLOOKUP(INDEX(Catálogo!$C$5:$C$16,MATCH(E40,Catálogo!$A$5:$A$16,0)),Catálogo!$I$6:$J$11,2,FALSE()),0)))</f>
        <v>234960</v>
      </c>
    </row>
    <row r="41" customFormat="false" ht="15" hidden="false" customHeight="true" outlineLevel="0" collapsed="false">
      <c r="A41" s="15" t="s">
        <v>148</v>
      </c>
      <c r="B41" s="19" t="n">
        <v>46106</v>
      </c>
      <c r="C41" s="15" t="s">
        <v>103</v>
      </c>
      <c r="D41" s="15" t="s">
        <v>104</v>
      </c>
      <c r="E41" s="15" t="s">
        <v>81</v>
      </c>
      <c r="F41" s="15" t="n">
        <v>6</v>
      </c>
      <c r="G41" s="20" t="str">
        <f aca="false">IFERROR(INDEX(Catálogo!$B$5:$B$16,MATCH(E41,Catálogo!$A$5:$A$16,0)),"CÓDIGO NO EXISTE")</f>
        <v>Diadema USB</v>
      </c>
      <c r="H41" s="21" t="n">
        <f aca="false">IFERROR(INDEX(Catálogo!$D$5:$D$16,MATCH(E41,Catálogo!$A$5:$A$16,0)),0)</f>
        <v>145000</v>
      </c>
      <c r="I41" s="21" t="n">
        <f aca="false">IF(OR(H41=0,G41="CÓDIGO NO EXISTE"),0,F41*H41*(1-IFERROR(VLOOKUP(INDEX(Catálogo!$C$5:$C$16,MATCH(E41,Catálogo!$A$5:$A$16,0)),Catálogo!$I$6:$J$11,2,FALSE()),0)))</f>
        <v>870000</v>
      </c>
    </row>
    <row r="42" customFormat="false" ht="15" hidden="false" customHeight="true" outlineLevel="0" collapsed="false">
      <c r="A42" s="15" t="s">
        <v>149</v>
      </c>
      <c r="B42" s="19" t="n">
        <v>46108</v>
      </c>
      <c r="C42" s="15" t="s">
        <v>103</v>
      </c>
      <c r="D42" s="15" t="s">
        <v>104</v>
      </c>
      <c r="E42" s="15" t="s">
        <v>88</v>
      </c>
      <c r="F42" s="15" t="n">
        <v>2</v>
      </c>
      <c r="G42" s="20" t="str">
        <f aca="false">IFERROR(INDEX(Catálogo!$B$5:$B$16,MATCH(E42,Catálogo!$A$5:$A$16,0)),"CÓDIGO NO EXISTE")</f>
        <v>Memoria USB 128GB</v>
      </c>
      <c r="H42" s="21" t="n">
        <f aca="false">IFERROR(INDEX(Catálogo!$D$5:$D$16,MATCH(E42,Catálogo!$A$5:$A$16,0)),0)</f>
        <v>58000</v>
      </c>
      <c r="I42" s="21" t="n">
        <f aca="false">IF(OR(H42=0,G42="CÓDIGO NO EXISTE"),0,F42*H42*(1-IFERROR(VLOOKUP(INDEX(Catálogo!$C$5:$C$16,MATCH(E42,Catálogo!$A$5:$A$16,0)),Catálogo!$I$6:$J$11,2,FALSE()),0)))</f>
        <v>112520</v>
      </c>
    </row>
    <row r="43" customFormat="false" ht="15" hidden="false" customHeight="true" outlineLevel="0" collapsed="false">
      <c r="A43" s="15" t="s">
        <v>150</v>
      </c>
      <c r="B43" s="19" t="n">
        <v>46111</v>
      </c>
      <c r="C43" s="15" t="s">
        <v>103</v>
      </c>
      <c r="D43" s="15" t="s">
        <v>104</v>
      </c>
      <c r="E43" s="15" t="s">
        <v>84</v>
      </c>
      <c r="F43" s="15" t="n">
        <v>4</v>
      </c>
      <c r="G43" s="20" t="str">
        <f aca="false">IFERROR(INDEX(Catálogo!$B$5:$B$16,MATCH(E43,Catálogo!$A$5:$A$16,0)),"CÓDIGO NO EXISTE")</f>
        <v>Parlantes 2.1</v>
      </c>
      <c r="H43" s="21" t="n">
        <f aca="false">IFERROR(INDEX(Catálogo!$D$5:$D$16,MATCH(E43,Catálogo!$A$5:$A$16,0)),0)</f>
        <v>230000</v>
      </c>
      <c r="I43" s="21" t="n">
        <f aca="false">IF(OR(H43=0,G43="CÓDIGO NO EXISTE"),0,F43*H43*(1-IFERROR(VLOOKUP(INDEX(Catálogo!$C$5:$C$16,MATCH(E43,Catálogo!$A$5:$A$16,0)),Catálogo!$I$6:$J$11,2,FALSE()),0)))</f>
        <v>920000</v>
      </c>
    </row>
    <row r="44" customFormat="false" ht="15" hidden="false" customHeight="true" outlineLevel="0" collapsed="false">
      <c r="A44" s="15" t="s">
        <v>151</v>
      </c>
      <c r="B44" s="19" t="n">
        <v>46111</v>
      </c>
      <c r="C44" s="15" t="s">
        <v>128</v>
      </c>
      <c r="D44" s="15" t="s">
        <v>129</v>
      </c>
      <c r="E44" s="15" t="s">
        <v>84</v>
      </c>
      <c r="F44" s="15" t="n">
        <v>6</v>
      </c>
      <c r="G44" s="20" t="str">
        <f aca="false">IFERROR(INDEX(Catálogo!$B$5:$B$16,MATCH(E44,Catálogo!$A$5:$A$16,0)),"CÓDIGO NO EXISTE")</f>
        <v>Parlantes 2.1</v>
      </c>
      <c r="H44" s="21" t="n">
        <f aca="false">IFERROR(INDEX(Catálogo!$D$5:$D$16,MATCH(E44,Catálogo!$A$5:$A$16,0)),0)</f>
        <v>230000</v>
      </c>
      <c r="I44" s="21" t="n">
        <f aca="false">IF(OR(H44=0,G44="CÓDIGO NO EXISTE"),0,F44*H44*(1-IFERROR(VLOOKUP(INDEX(Catálogo!$C$5:$C$16,MATCH(E44,Catálogo!$A$5:$A$16,0)),Catálogo!$I$6:$J$11,2,FALSE()),0)))</f>
        <v>1380000</v>
      </c>
    </row>
    <row r="45" customFormat="false" ht="15" hidden="false" customHeight="true" outlineLevel="0" collapsed="false">
      <c r="A45" s="15" t="s">
        <v>152</v>
      </c>
      <c r="B45" s="19" t="n">
        <v>46112</v>
      </c>
      <c r="C45" s="15" t="s">
        <v>106</v>
      </c>
      <c r="D45" s="15" t="s">
        <v>107</v>
      </c>
      <c r="E45" s="15" t="s">
        <v>92</v>
      </c>
      <c r="F45" s="15" t="n">
        <v>3</v>
      </c>
      <c r="G45" s="20" t="str">
        <f aca="false">IFERROR(INDEX(Catálogo!$B$5:$B$16,MATCH(E45,Catálogo!$A$5:$A$16,0)),"CÓDIGO NO EXISTE")</f>
        <v>Base refrigerante</v>
      </c>
      <c r="H45" s="21" t="n">
        <f aca="false">IFERROR(INDEX(Catálogo!$D$5:$D$16,MATCH(E45,Catálogo!$A$5:$A$16,0)),0)</f>
        <v>89000</v>
      </c>
      <c r="I45" s="21" t="n">
        <f aca="false">IF(OR(H45=0,G45="CÓDIGO NO EXISTE"),0,F45*H45*(1-IFERROR(VLOOKUP(INDEX(Catálogo!$C$5:$C$16,MATCH(E45,Catálogo!$A$5:$A$16,0)),Catálogo!$I$6:$J$11,2,FALSE()),0)))</f>
        <v>234960</v>
      </c>
    </row>
    <row r="46" customFormat="false" ht="15" hidden="false" customHeight="true" outlineLevel="0" collapsed="false">
      <c r="A46" s="15" t="s">
        <v>153</v>
      </c>
      <c r="B46" s="19" t="n">
        <v>46115</v>
      </c>
      <c r="C46" s="15" t="s">
        <v>106</v>
      </c>
      <c r="D46" s="15" t="s">
        <v>107</v>
      </c>
      <c r="E46" s="15" t="s">
        <v>72</v>
      </c>
      <c r="F46" s="15" t="n">
        <v>2</v>
      </c>
      <c r="G46" s="20" t="str">
        <f aca="false">IFERROR(INDEX(Catálogo!$B$5:$B$16,MATCH(E46,Catálogo!$A$5:$A$16,0)),"CÓDIGO NO EXISTE")</f>
        <v>Monitor 27"</v>
      </c>
      <c r="H46" s="21" t="n">
        <f aca="false">IFERROR(INDEX(Catálogo!$D$5:$D$16,MATCH(E46,Catálogo!$A$5:$A$16,0)),0)</f>
        <v>1150000</v>
      </c>
      <c r="I46" s="21" t="n">
        <f aca="false">IF(OR(H46=0,G46="CÓDIGO NO EXISTE"),0,F46*H46*(1-IFERROR(VLOOKUP(INDEX(Catálogo!$C$5:$C$16,MATCH(E46,Catálogo!$A$5:$A$16,0)),Catálogo!$I$6:$J$11,2,FALSE()),0)))</f>
        <v>2116000</v>
      </c>
    </row>
    <row r="47" customFormat="false" ht="15" hidden="false" customHeight="true" outlineLevel="0" collapsed="false">
      <c r="A47" s="15" t="s">
        <v>154</v>
      </c>
      <c r="B47" s="19" t="n">
        <v>46117</v>
      </c>
      <c r="C47" s="15" t="s">
        <v>106</v>
      </c>
      <c r="D47" s="15" t="s">
        <v>107</v>
      </c>
      <c r="E47" s="15" t="s">
        <v>67</v>
      </c>
      <c r="F47" s="15" t="n">
        <v>1</v>
      </c>
      <c r="G47" s="20" t="str">
        <f aca="false">IFERROR(INDEX(Catálogo!$B$5:$B$16,MATCH(E47,Catálogo!$A$5:$A$16,0)),"CÓDIGO NO EXISTE")</f>
        <v>Mouse inalámbrico</v>
      </c>
      <c r="H47" s="21" t="n">
        <f aca="false">IFERROR(INDEX(Catálogo!$D$5:$D$16,MATCH(E47,Catálogo!$A$5:$A$16,0)),0)</f>
        <v>72000</v>
      </c>
      <c r="I47" s="21" t="n">
        <f aca="false">IF(OR(H47=0,G47="CÓDIGO NO EXISTE"),0,F47*H47*(1-IFERROR(VLOOKUP(INDEX(Catálogo!$C$5:$C$16,MATCH(E47,Catálogo!$A$5:$A$16,0)),Catálogo!$I$6:$J$11,2,FALSE()),0)))</f>
        <v>68400</v>
      </c>
    </row>
    <row r="48" customFormat="false" ht="15" hidden="false" customHeight="true" outlineLevel="0" collapsed="false">
      <c r="A48" s="15" t="s">
        <v>155</v>
      </c>
      <c r="B48" s="19" t="n">
        <v>46117</v>
      </c>
      <c r="C48" s="15" t="s">
        <v>110</v>
      </c>
      <c r="D48" s="15" t="s">
        <v>107</v>
      </c>
      <c r="E48" s="15" t="s">
        <v>72</v>
      </c>
      <c r="F48" s="15" t="n">
        <v>1</v>
      </c>
      <c r="G48" s="20" t="str">
        <f aca="false">IFERROR(INDEX(Catálogo!$B$5:$B$16,MATCH(E48,Catálogo!$A$5:$A$16,0)),"CÓDIGO NO EXISTE")</f>
        <v>Monitor 27"</v>
      </c>
      <c r="H48" s="21" t="n">
        <f aca="false">IFERROR(INDEX(Catálogo!$D$5:$D$16,MATCH(E48,Catálogo!$A$5:$A$16,0)),0)</f>
        <v>1150000</v>
      </c>
      <c r="I48" s="21" t="n">
        <f aca="false">IF(OR(H48=0,G48="CÓDIGO NO EXISTE"),0,F48*H48*(1-IFERROR(VLOOKUP(INDEX(Catálogo!$C$5:$C$16,MATCH(E48,Catálogo!$A$5:$A$16,0)),Catálogo!$I$6:$J$11,2,FALSE()),0)))</f>
        <v>1058000</v>
      </c>
    </row>
    <row r="49" customFormat="false" ht="15" hidden="false" customHeight="true" outlineLevel="0" collapsed="false">
      <c r="A49" s="15" t="s">
        <v>156</v>
      </c>
      <c r="B49" s="19" t="n">
        <v>46117</v>
      </c>
      <c r="C49" s="15" t="s">
        <v>114</v>
      </c>
      <c r="D49" s="15" t="s">
        <v>115</v>
      </c>
      <c r="E49" s="15" t="s">
        <v>63</v>
      </c>
      <c r="F49" s="15" t="n">
        <v>1</v>
      </c>
      <c r="G49" s="20" t="str">
        <f aca="false">IFERROR(INDEX(Catálogo!$B$5:$B$16,MATCH(E49,Catálogo!$A$5:$A$16,0)),"CÓDIGO NO EXISTE")</f>
        <v>Teclado mecánico</v>
      </c>
      <c r="H49" s="21" t="n">
        <f aca="false">IFERROR(INDEX(Catálogo!$D$5:$D$16,MATCH(E49,Catálogo!$A$5:$A$16,0)),0)</f>
        <v>185000</v>
      </c>
      <c r="I49" s="21" t="n">
        <f aca="false">IF(OR(H49=0,G49="CÓDIGO NO EXISTE"),0,F49*H49*(1-IFERROR(VLOOKUP(INDEX(Catálogo!$C$5:$C$16,MATCH(E49,Catálogo!$A$5:$A$16,0)),Catálogo!$I$6:$J$11,2,FALSE()),0)))</f>
        <v>175750</v>
      </c>
    </row>
    <row r="50" customFormat="false" ht="15" hidden="false" customHeight="true" outlineLevel="0" collapsed="false">
      <c r="A50" s="15" t="s">
        <v>157</v>
      </c>
      <c r="B50" s="19" t="n">
        <v>46117</v>
      </c>
      <c r="C50" s="15" t="s">
        <v>114</v>
      </c>
      <c r="D50" s="15" t="s">
        <v>115</v>
      </c>
      <c r="E50" s="15" t="s">
        <v>63</v>
      </c>
      <c r="F50" s="15" t="n">
        <v>5</v>
      </c>
      <c r="G50" s="20" t="str">
        <f aca="false">IFERROR(INDEX(Catálogo!$B$5:$B$16,MATCH(E50,Catálogo!$A$5:$A$16,0)),"CÓDIGO NO EXISTE")</f>
        <v>Teclado mecánico</v>
      </c>
      <c r="H50" s="21" t="n">
        <f aca="false">IFERROR(INDEX(Catálogo!$D$5:$D$16,MATCH(E50,Catálogo!$A$5:$A$16,0)),0)</f>
        <v>185000</v>
      </c>
      <c r="I50" s="21" t="n">
        <f aca="false">IF(OR(H50=0,G50="CÓDIGO NO EXISTE"),0,F50*H50*(1-IFERROR(VLOOKUP(INDEX(Catálogo!$C$5:$C$16,MATCH(E50,Catálogo!$A$5:$A$16,0)),Catálogo!$I$6:$J$11,2,FALSE()),0)))</f>
        <v>878750</v>
      </c>
    </row>
    <row r="51" customFormat="false" ht="15" hidden="false" customHeight="true" outlineLevel="0" collapsed="false">
      <c r="A51" s="15" t="s">
        <v>158</v>
      </c>
      <c r="B51" s="19" t="n">
        <v>46118</v>
      </c>
      <c r="C51" s="15" t="s">
        <v>114</v>
      </c>
      <c r="D51" s="15" t="s">
        <v>115</v>
      </c>
      <c r="E51" s="15" t="s">
        <v>88</v>
      </c>
      <c r="F51" s="15" t="n">
        <v>3</v>
      </c>
      <c r="G51" s="20" t="str">
        <f aca="false">IFERROR(INDEX(Catálogo!$B$5:$B$16,MATCH(E51,Catálogo!$A$5:$A$16,0)),"CÓDIGO NO EXISTE")</f>
        <v>Memoria USB 128GB</v>
      </c>
      <c r="H51" s="21" t="n">
        <f aca="false">IFERROR(INDEX(Catálogo!$D$5:$D$16,MATCH(E51,Catálogo!$A$5:$A$16,0)),0)</f>
        <v>58000</v>
      </c>
      <c r="I51" s="21" t="n">
        <f aca="false">IF(OR(H51=0,G51="CÓDIGO NO EXISTE"),0,F51*H51*(1-IFERROR(VLOOKUP(INDEX(Catálogo!$C$5:$C$16,MATCH(E51,Catálogo!$A$5:$A$16,0)),Catálogo!$I$6:$J$11,2,FALSE()),0)))</f>
        <v>168780</v>
      </c>
    </row>
    <row r="52" customFormat="false" ht="15" hidden="false" customHeight="true" outlineLevel="0" collapsed="false">
      <c r="A52" s="15" t="s">
        <v>159</v>
      </c>
      <c r="B52" s="19" t="n">
        <v>46124</v>
      </c>
      <c r="C52" s="15" t="s">
        <v>110</v>
      </c>
      <c r="D52" s="15" t="s">
        <v>107</v>
      </c>
      <c r="E52" s="15" t="s">
        <v>84</v>
      </c>
      <c r="F52" s="15" t="n">
        <v>6</v>
      </c>
      <c r="G52" s="20" t="str">
        <f aca="false">IFERROR(INDEX(Catálogo!$B$5:$B$16,MATCH(E52,Catálogo!$A$5:$A$16,0)),"CÓDIGO NO EXISTE")</f>
        <v>Parlantes 2.1</v>
      </c>
      <c r="H52" s="21" t="n">
        <f aca="false">IFERROR(INDEX(Catálogo!$D$5:$D$16,MATCH(E52,Catálogo!$A$5:$A$16,0)),0)</f>
        <v>230000</v>
      </c>
      <c r="I52" s="21" t="n">
        <f aca="false">IF(OR(H52=0,G52="CÓDIGO NO EXISTE"),0,F52*H52*(1-IFERROR(VLOOKUP(INDEX(Catálogo!$C$5:$C$16,MATCH(E52,Catálogo!$A$5:$A$16,0)),Catálogo!$I$6:$J$11,2,FALSE()),0)))</f>
        <v>1380000</v>
      </c>
    </row>
    <row r="53" customFormat="false" ht="15" hidden="false" customHeight="true" outlineLevel="0" collapsed="false">
      <c r="A53" s="15" t="s">
        <v>160</v>
      </c>
      <c r="B53" s="19" t="n">
        <v>46125</v>
      </c>
      <c r="C53" s="15" t="s">
        <v>106</v>
      </c>
      <c r="D53" s="15" t="s">
        <v>107</v>
      </c>
      <c r="E53" s="15" t="s">
        <v>81</v>
      </c>
      <c r="F53" s="15" t="n">
        <v>6</v>
      </c>
      <c r="G53" s="20" t="str">
        <f aca="false">IFERROR(INDEX(Catálogo!$B$5:$B$16,MATCH(E53,Catálogo!$A$5:$A$16,0)),"CÓDIGO NO EXISTE")</f>
        <v>Diadema USB</v>
      </c>
      <c r="H53" s="21" t="n">
        <f aca="false">IFERROR(INDEX(Catálogo!$D$5:$D$16,MATCH(E53,Catálogo!$A$5:$A$16,0)),0)</f>
        <v>145000</v>
      </c>
      <c r="I53" s="21" t="n">
        <f aca="false">IF(OR(H53=0,G53="CÓDIGO NO EXISTE"),0,F53*H53*(1-IFERROR(VLOOKUP(INDEX(Catálogo!$C$5:$C$16,MATCH(E53,Catálogo!$A$5:$A$16,0)),Catálogo!$I$6:$J$11,2,FALSE()),0)))</f>
        <v>870000</v>
      </c>
    </row>
    <row r="54" customFormat="false" ht="15" hidden="false" customHeight="true" outlineLevel="0" collapsed="false">
      <c r="A54" s="15" t="s">
        <v>161</v>
      </c>
      <c r="B54" s="19" t="n">
        <v>46125</v>
      </c>
      <c r="C54" s="15" t="s">
        <v>110</v>
      </c>
      <c r="D54" s="15" t="s">
        <v>107</v>
      </c>
      <c r="E54" s="15" t="s">
        <v>72</v>
      </c>
      <c r="F54" s="15" t="n">
        <v>1</v>
      </c>
      <c r="G54" s="20" t="str">
        <f aca="false">IFERROR(INDEX(Catálogo!$B$5:$B$16,MATCH(E54,Catálogo!$A$5:$A$16,0)),"CÓDIGO NO EXISTE")</f>
        <v>Monitor 27"</v>
      </c>
      <c r="H54" s="21" t="n">
        <f aca="false">IFERROR(INDEX(Catálogo!$D$5:$D$16,MATCH(E54,Catálogo!$A$5:$A$16,0)),0)</f>
        <v>1150000</v>
      </c>
      <c r="I54" s="21" t="n">
        <f aca="false">IF(OR(H54=0,G54="CÓDIGO NO EXISTE"),0,F54*H54*(1-IFERROR(VLOOKUP(INDEX(Catálogo!$C$5:$C$16,MATCH(E54,Catálogo!$A$5:$A$16,0)),Catálogo!$I$6:$J$11,2,FALSE()),0)))</f>
        <v>1058000</v>
      </c>
    </row>
    <row r="55" customFormat="false" ht="15" hidden="false" customHeight="true" outlineLevel="0" collapsed="false">
      <c r="A55" s="15" t="s">
        <v>162</v>
      </c>
      <c r="B55" s="19" t="n">
        <v>46126</v>
      </c>
      <c r="C55" s="15" t="s">
        <v>110</v>
      </c>
      <c r="D55" s="15" t="s">
        <v>107</v>
      </c>
      <c r="E55" s="15" t="s">
        <v>163</v>
      </c>
      <c r="F55" s="15" t="n">
        <v>2</v>
      </c>
      <c r="G55" s="20" t="str">
        <f aca="false">IFERROR(INDEX(Catálogo!$B$5:$B$16,MATCH(E55,Catálogo!$A$5:$A$16,0)),"CÓDIGO NO EXISTE")</f>
        <v>CÓDIGO NO EXISTE</v>
      </c>
      <c r="H55" s="21" t="n">
        <f aca="false">IFERROR(INDEX(Catálogo!$D$5:$D$16,MATCH(E55,Catálogo!$A$5:$A$16,0)),0)</f>
        <v>0</v>
      </c>
      <c r="I55" s="21" t="n">
        <f aca="false">IF(OR(H55=0,G55="CÓDIGO NO EXISTE"),0,F55*H55*(1-IFERROR(VLOOKUP(INDEX(Catálogo!$C$5:$C$16,MATCH(E55,Catálogo!$A$5:$A$16,0)),Catálogo!$I$6:$J$11,2,FALSE()),0)))</f>
        <v>0</v>
      </c>
    </row>
    <row r="56" customFormat="false" ht="15" hidden="false" customHeight="true" outlineLevel="0" collapsed="false">
      <c r="A56" s="15" t="s">
        <v>164</v>
      </c>
      <c r="B56" s="19" t="n">
        <v>46131</v>
      </c>
      <c r="C56" s="15" t="s">
        <v>110</v>
      </c>
      <c r="D56" s="15" t="s">
        <v>107</v>
      </c>
      <c r="E56" s="15" t="s">
        <v>72</v>
      </c>
      <c r="F56" s="15" t="n">
        <v>1</v>
      </c>
      <c r="G56" s="20" t="str">
        <f aca="false">IFERROR(INDEX(Catálogo!$B$5:$B$16,MATCH(E56,Catálogo!$A$5:$A$16,0)),"CÓDIGO NO EXISTE")</f>
        <v>Monitor 27"</v>
      </c>
      <c r="H56" s="21" t="n">
        <f aca="false">IFERROR(INDEX(Catálogo!$D$5:$D$16,MATCH(E56,Catálogo!$A$5:$A$16,0)),0)</f>
        <v>1150000</v>
      </c>
      <c r="I56" s="21" t="n">
        <f aca="false">IF(OR(H56=0,G56="CÓDIGO NO EXISTE"),0,F56*H56*(1-IFERROR(VLOOKUP(INDEX(Catálogo!$C$5:$C$16,MATCH(E56,Catálogo!$A$5:$A$16,0)),Catálogo!$I$6:$J$11,2,FALSE()),0)))</f>
        <v>1058000</v>
      </c>
    </row>
    <row r="57" customFormat="false" ht="15" hidden="false" customHeight="true" outlineLevel="0" collapsed="false">
      <c r="A57" s="15" t="s">
        <v>165</v>
      </c>
      <c r="B57" s="19" t="n">
        <v>46133</v>
      </c>
      <c r="C57" s="15" t="s">
        <v>128</v>
      </c>
      <c r="D57" s="15" t="s">
        <v>129</v>
      </c>
      <c r="E57" s="15" t="s">
        <v>84</v>
      </c>
      <c r="F57" s="15" t="n">
        <v>5</v>
      </c>
      <c r="G57" s="20" t="str">
        <f aca="false">IFERROR(INDEX(Catálogo!$B$5:$B$16,MATCH(E57,Catálogo!$A$5:$A$16,0)),"CÓDIGO NO EXISTE")</f>
        <v>Parlantes 2.1</v>
      </c>
      <c r="H57" s="21" t="n">
        <f aca="false">IFERROR(INDEX(Catálogo!$D$5:$D$16,MATCH(E57,Catálogo!$A$5:$A$16,0)),0)</f>
        <v>230000</v>
      </c>
      <c r="I57" s="21" t="n">
        <f aca="false">IF(OR(H57=0,G57="CÓDIGO NO EXISTE"),0,F57*H57*(1-IFERROR(VLOOKUP(INDEX(Catálogo!$C$5:$C$16,MATCH(E57,Catálogo!$A$5:$A$16,0)),Catálogo!$I$6:$J$11,2,FALSE()),0)))</f>
        <v>1150000</v>
      </c>
    </row>
    <row r="58" customFormat="false" ht="15" hidden="false" customHeight="true" outlineLevel="0" collapsed="false">
      <c r="A58" s="15" t="s">
        <v>166</v>
      </c>
      <c r="B58" s="19" t="n">
        <v>46136</v>
      </c>
      <c r="C58" s="15" t="s">
        <v>103</v>
      </c>
      <c r="D58" s="15" t="s">
        <v>104</v>
      </c>
      <c r="E58" s="15" t="s">
        <v>67</v>
      </c>
      <c r="F58" s="15" t="n">
        <v>3</v>
      </c>
      <c r="G58" s="20" t="str">
        <f aca="false">IFERROR(INDEX(Catálogo!$B$5:$B$16,MATCH(E58,Catálogo!$A$5:$A$16,0)),"CÓDIGO NO EXISTE")</f>
        <v>Mouse inalámbrico</v>
      </c>
      <c r="H58" s="21" t="n">
        <f aca="false">IFERROR(INDEX(Catálogo!$D$5:$D$16,MATCH(E58,Catálogo!$A$5:$A$16,0)),0)</f>
        <v>72000</v>
      </c>
      <c r="I58" s="21" t="n">
        <f aca="false">IF(OR(H58=0,G58="CÓDIGO NO EXISTE"),0,F58*H58*(1-IFERROR(VLOOKUP(INDEX(Catálogo!$C$5:$C$16,MATCH(E58,Catálogo!$A$5:$A$16,0)),Catálogo!$I$6:$J$11,2,FALSE()),0)))</f>
        <v>205200</v>
      </c>
    </row>
    <row r="59" customFormat="false" ht="15" hidden="false" customHeight="true" outlineLevel="0" collapsed="false">
      <c r="A59" s="15" t="s">
        <v>167</v>
      </c>
      <c r="B59" s="19" t="n">
        <v>46138</v>
      </c>
      <c r="C59" s="15" t="s">
        <v>128</v>
      </c>
      <c r="D59" s="15" t="s">
        <v>129</v>
      </c>
      <c r="E59" s="15" t="s">
        <v>88</v>
      </c>
      <c r="F59" s="15" t="n">
        <v>1</v>
      </c>
      <c r="G59" s="20" t="str">
        <f aca="false">IFERROR(INDEX(Catálogo!$B$5:$B$16,MATCH(E59,Catálogo!$A$5:$A$16,0)),"CÓDIGO NO EXISTE")</f>
        <v>Memoria USB 128GB</v>
      </c>
      <c r="H59" s="21" t="n">
        <f aca="false">IFERROR(INDEX(Catálogo!$D$5:$D$16,MATCH(E59,Catálogo!$A$5:$A$16,0)),0)</f>
        <v>58000</v>
      </c>
      <c r="I59" s="21" t="n">
        <f aca="false">IF(OR(H59=0,G59="CÓDIGO NO EXISTE"),0,F59*H59*(1-IFERROR(VLOOKUP(INDEX(Catálogo!$C$5:$C$16,MATCH(E59,Catálogo!$A$5:$A$16,0)),Catálogo!$I$6:$J$11,2,FALSE()),0)))</f>
        <v>56260</v>
      </c>
    </row>
    <row r="60" customFormat="false" ht="15" hidden="false" customHeight="true" outlineLevel="0" collapsed="false">
      <c r="A60" s="15" t="s">
        <v>168</v>
      </c>
      <c r="B60" s="19" t="n">
        <v>46140</v>
      </c>
      <c r="C60" s="15" t="s">
        <v>128</v>
      </c>
      <c r="D60" s="15" t="s">
        <v>129</v>
      </c>
      <c r="E60" s="15" t="s">
        <v>75</v>
      </c>
      <c r="F60" s="15" t="n">
        <v>2</v>
      </c>
      <c r="G60" s="20" t="str">
        <f aca="false">IFERROR(INDEX(Catálogo!$B$5:$B$16,MATCH(E60,Catálogo!$A$5:$A$16,0)),"CÓDIGO NO EXISTE")</f>
        <v>Portátil 14"</v>
      </c>
      <c r="H60" s="21" t="n">
        <f aca="false">IFERROR(INDEX(Catálogo!$D$5:$D$16,MATCH(E60,Catálogo!$A$5:$A$16,0)),0)</f>
        <v>3200000</v>
      </c>
      <c r="I60" s="21" t="n">
        <f aca="false">IF(OR(H60=0,G60="CÓDIGO NO EXISTE"),0,F60*H60*(1-IFERROR(VLOOKUP(INDEX(Catálogo!$C$5:$C$16,MATCH(E60,Catálogo!$A$5:$A$16,0)),Catálogo!$I$6:$J$11,2,FALSE()),0)))</f>
        <v>5760000</v>
      </c>
    </row>
    <row r="61" customFormat="false" ht="15" hidden="false" customHeight="true" outlineLevel="0" collapsed="false">
      <c r="A61" s="15" t="s">
        <v>169</v>
      </c>
      <c r="B61" s="19" t="n">
        <v>46146</v>
      </c>
      <c r="C61" s="15" t="s">
        <v>128</v>
      </c>
      <c r="D61" s="15" t="s">
        <v>129</v>
      </c>
      <c r="E61" s="15" t="s">
        <v>90</v>
      </c>
      <c r="F61" s="15" t="n">
        <v>1</v>
      </c>
      <c r="G61" s="20" t="str">
        <f aca="false">IFERROR(INDEX(Catálogo!$B$5:$B$16,MATCH(E61,Catálogo!$A$5:$A$16,0)),"CÓDIGO NO EXISTE")</f>
        <v>Cámara web HD</v>
      </c>
      <c r="H61" s="21" t="n">
        <f aca="false">IFERROR(INDEX(Catálogo!$D$5:$D$16,MATCH(E61,Catálogo!$A$5:$A$16,0)),0)</f>
        <v>165000</v>
      </c>
      <c r="I61" s="21" t="n">
        <f aca="false">IF(OR(H61=0,G61="CÓDIGO NO EXISTE"),0,F61*H61*(1-IFERROR(VLOOKUP(INDEX(Catálogo!$C$5:$C$16,MATCH(E61,Catálogo!$A$5:$A$16,0)),Catálogo!$I$6:$J$11,2,FALSE()),0)))</f>
        <v>156750</v>
      </c>
    </row>
    <row r="62" customFormat="false" ht="15" hidden="false" customHeight="true" outlineLevel="0" collapsed="false">
      <c r="A62" s="15" t="s">
        <v>170</v>
      </c>
      <c r="B62" s="19" t="n">
        <v>46147</v>
      </c>
      <c r="C62" s="15" t="s">
        <v>114</v>
      </c>
      <c r="D62" s="15" t="s">
        <v>115</v>
      </c>
      <c r="E62" s="15" t="s">
        <v>88</v>
      </c>
      <c r="F62" s="15" t="n">
        <v>1</v>
      </c>
      <c r="G62" s="20" t="str">
        <f aca="false">IFERROR(INDEX(Catálogo!$B$5:$B$16,MATCH(E62,Catálogo!$A$5:$A$16,0)),"CÓDIGO NO EXISTE")</f>
        <v>Memoria USB 128GB</v>
      </c>
      <c r="H62" s="21" t="n">
        <f aca="false">IFERROR(INDEX(Catálogo!$D$5:$D$16,MATCH(E62,Catálogo!$A$5:$A$16,0)),0)</f>
        <v>58000</v>
      </c>
      <c r="I62" s="21" t="n">
        <f aca="false">IF(OR(H62=0,G62="CÓDIGO NO EXISTE"),0,F62*H62*(1-IFERROR(VLOOKUP(INDEX(Catálogo!$C$5:$C$16,MATCH(E62,Catálogo!$A$5:$A$16,0)),Catálogo!$I$6:$J$11,2,FALSE()),0)))</f>
        <v>56260</v>
      </c>
    </row>
    <row r="63" customFormat="false" ht="15" hidden="false" customHeight="true" outlineLevel="0" collapsed="false">
      <c r="A63" s="15" t="s">
        <v>171</v>
      </c>
      <c r="B63" s="19" t="n">
        <v>46148</v>
      </c>
      <c r="C63" s="15" t="s">
        <v>106</v>
      </c>
      <c r="D63" s="15" t="s">
        <v>107</v>
      </c>
      <c r="E63" s="15" t="s">
        <v>84</v>
      </c>
      <c r="F63" s="15" t="n">
        <v>4</v>
      </c>
      <c r="G63" s="20" t="str">
        <f aca="false">IFERROR(INDEX(Catálogo!$B$5:$B$16,MATCH(E63,Catálogo!$A$5:$A$16,0)),"CÓDIGO NO EXISTE")</f>
        <v>Parlantes 2.1</v>
      </c>
      <c r="H63" s="21" t="n">
        <f aca="false">IFERROR(INDEX(Catálogo!$D$5:$D$16,MATCH(E63,Catálogo!$A$5:$A$16,0)),0)</f>
        <v>230000</v>
      </c>
      <c r="I63" s="21" t="n">
        <f aca="false">IF(OR(H63=0,G63="CÓDIGO NO EXISTE"),0,F63*H63*(1-IFERROR(VLOOKUP(INDEX(Catálogo!$C$5:$C$16,MATCH(E63,Catálogo!$A$5:$A$16,0)),Catálogo!$I$6:$J$11,2,FALSE()),0)))</f>
        <v>920000</v>
      </c>
    </row>
    <row r="64" customFormat="false" ht="15" hidden="false" customHeight="true" outlineLevel="0" collapsed="false">
      <c r="A64" s="15" t="s">
        <v>172</v>
      </c>
      <c r="B64" s="19" t="n">
        <v>46156</v>
      </c>
      <c r="C64" s="15" t="s">
        <v>128</v>
      </c>
      <c r="D64" s="15" t="s">
        <v>129</v>
      </c>
      <c r="E64" s="15" t="s">
        <v>69</v>
      </c>
      <c r="F64" s="15" t="n">
        <v>3</v>
      </c>
      <c r="G64" s="20" t="str">
        <f aca="false">IFERROR(INDEX(Catálogo!$B$5:$B$16,MATCH(E64,Catálogo!$A$5:$A$16,0)),"CÓDIGO NO EXISTE")</f>
        <v>Monitor 24"</v>
      </c>
      <c r="H64" s="21" t="n">
        <f aca="false">IFERROR(INDEX(Catálogo!$D$5:$D$16,MATCH(E64,Catálogo!$A$5:$A$16,0)),0)</f>
        <v>690000</v>
      </c>
      <c r="I64" s="21" t="n">
        <f aca="false">IF(OR(H64=0,G64="CÓDIGO NO EXISTE"),0,F64*H64*(1-IFERROR(VLOOKUP(INDEX(Catálogo!$C$5:$C$16,MATCH(E64,Catálogo!$A$5:$A$16,0)),Catálogo!$I$6:$J$11,2,FALSE()),0)))</f>
        <v>1904400</v>
      </c>
    </row>
    <row r="65" customFormat="false" ht="15" hidden="false" customHeight="true" outlineLevel="0" collapsed="false">
      <c r="A65" s="15" t="s">
        <v>173</v>
      </c>
      <c r="B65" s="19" t="n">
        <v>46159</v>
      </c>
      <c r="C65" s="15" t="s">
        <v>128</v>
      </c>
      <c r="D65" s="15" t="s">
        <v>129</v>
      </c>
      <c r="E65" s="15" t="s">
        <v>69</v>
      </c>
      <c r="F65" s="15" t="n">
        <v>6</v>
      </c>
      <c r="G65" s="20" t="str">
        <f aca="false">IFERROR(INDEX(Catálogo!$B$5:$B$16,MATCH(E65,Catálogo!$A$5:$A$16,0)),"CÓDIGO NO EXISTE")</f>
        <v>Monitor 24"</v>
      </c>
      <c r="H65" s="21" t="n">
        <f aca="false">IFERROR(INDEX(Catálogo!$D$5:$D$16,MATCH(E65,Catálogo!$A$5:$A$16,0)),0)</f>
        <v>690000</v>
      </c>
      <c r="I65" s="21" t="n">
        <f aca="false">IF(OR(H65=0,G65="CÓDIGO NO EXISTE"),0,F65*H65*(1-IFERROR(VLOOKUP(INDEX(Catálogo!$C$5:$C$16,MATCH(E65,Catálogo!$A$5:$A$16,0)),Catálogo!$I$6:$J$11,2,FALSE()),0)))</f>
        <v>3808800</v>
      </c>
    </row>
    <row r="66" customFormat="false" ht="15" hidden="false" customHeight="true" outlineLevel="0" collapsed="false">
      <c r="A66" s="15" t="s">
        <v>174</v>
      </c>
      <c r="B66" s="19" t="n">
        <v>46163</v>
      </c>
      <c r="C66" s="15" t="s">
        <v>110</v>
      </c>
      <c r="D66" s="15" t="s">
        <v>107</v>
      </c>
      <c r="E66" s="15" t="s">
        <v>86</v>
      </c>
      <c r="F66" s="15" t="n">
        <v>3</v>
      </c>
      <c r="G66" s="20" t="str">
        <f aca="false">IFERROR(INDEX(Catálogo!$B$5:$B$16,MATCH(E66,Catálogo!$A$5:$A$16,0)),"CÓDIGO NO EXISTE")</f>
        <v>Disco SSD 1TB</v>
      </c>
      <c r="H66" s="21" t="n">
        <f aca="false">IFERROR(INDEX(Catálogo!$D$5:$D$16,MATCH(E66,Catálogo!$A$5:$A$16,0)),0)</f>
        <v>390000</v>
      </c>
      <c r="I66" s="21" t="n">
        <f aca="false">IF(OR(H66=0,G66="CÓDIGO NO EXISTE"),0,F66*H66*(1-IFERROR(VLOOKUP(INDEX(Catálogo!$C$5:$C$16,MATCH(E66,Catálogo!$A$5:$A$16,0)),Catálogo!$I$6:$J$11,2,FALSE()),0)))</f>
        <v>1134900</v>
      </c>
    </row>
    <row r="67" customFormat="false" ht="15" hidden="false" customHeight="true" outlineLevel="0" collapsed="false">
      <c r="A67" s="15" t="s">
        <v>175</v>
      </c>
      <c r="B67" s="19" t="n">
        <v>46164</v>
      </c>
      <c r="C67" s="15" t="s">
        <v>128</v>
      </c>
      <c r="D67" s="15" t="s">
        <v>129</v>
      </c>
      <c r="E67" s="15" t="s">
        <v>69</v>
      </c>
      <c r="F67" s="15" t="n">
        <v>4</v>
      </c>
      <c r="G67" s="20" t="str">
        <f aca="false">IFERROR(INDEX(Catálogo!$B$5:$B$16,MATCH(E67,Catálogo!$A$5:$A$16,0)),"CÓDIGO NO EXISTE")</f>
        <v>Monitor 24"</v>
      </c>
      <c r="H67" s="21" t="n">
        <f aca="false">IFERROR(INDEX(Catálogo!$D$5:$D$16,MATCH(E67,Catálogo!$A$5:$A$16,0)),0)</f>
        <v>690000</v>
      </c>
      <c r="I67" s="21" t="n">
        <f aca="false">IF(OR(H67=0,G67="CÓDIGO NO EXISTE"),0,F67*H67*(1-IFERROR(VLOOKUP(INDEX(Catálogo!$C$5:$C$16,MATCH(E67,Catálogo!$A$5:$A$16,0)),Catálogo!$I$6:$J$11,2,FALSE()),0)))</f>
        <v>2539200</v>
      </c>
    </row>
    <row r="68" customFormat="false" ht="15" hidden="false" customHeight="true" outlineLevel="0" collapsed="false">
      <c r="A68" s="15" t="s">
        <v>176</v>
      </c>
      <c r="B68" s="19" t="n">
        <v>46164</v>
      </c>
      <c r="C68" s="15" t="s">
        <v>128</v>
      </c>
      <c r="D68" s="15" t="s">
        <v>129</v>
      </c>
      <c r="E68" s="15" t="s">
        <v>92</v>
      </c>
      <c r="F68" s="15" t="n">
        <v>4</v>
      </c>
      <c r="G68" s="20" t="str">
        <f aca="false">IFERROR(INDEX(Catálogo!$B$5:$B$16,MATCH(E68,Catálogo!$A$5:$A$16,0)),"CÓDIGO NO EXISTE")</f>
        <v>Base refrigerante</v>
      </c>
      <c r="H68" s="21" t="n">
        <f aca="false">IFERROR(INDEX(Catálogo!$D$5:$D$16,MATCH(E68,Catálogo!$A$5:$A$16,0)),0)</f>
        <v>89000</v>
      </c>
      <c r="I68" s="21" t="n">
        <f aca="false">IF(OR(H68=0,G68="CÓDIGO NO EXISTE"),0,F68*H68*(1-IFERROR(VLOOKUP(INDEX(Catálogo!$C$5:$C$16,MATCH(E68,Catálogo!$A$5:$A$16,0)),Catálogo!$I$6:$J$11,2,FALSE()),0)))</f>
        <v>313280</v>
      </c>
    </row>
    <row r="69" customFormat="false" ht="15" hidden="false" customHeight="true" outlineLevel="0" collapsed="false">
      <c r="A69" s="15" t="s">
        <v>177</v>
      </c>
      <c r="B69" s="19" t="n">
        <v>46165</v>
      </c>
      <c r="C69" s="15" t="s">
        <v>106</v>
      </c>
      <c r="D69" s="15" t="s">
        <v>107</v>
      </c>
      <c r="E69" s="15" t="s">
        <v>63</v>
      </c>
      <c r="F69" s="15" t="n">
        <v>5</v>
      </c>
      <c r="G69" s="20" t="str">
        <f aca="false">IFERROR(INDEX(Catálogo!$B$5:$B$16,MATCH(E69,Catálogo!$A$5:$A$16,0)),"CÓDIGO NO EXISTE")</f>
        <v>Teclado mecánico</v>
      </c>
      <c r="H69" s="21" t="n">
        <f aca="false">IFERROR(INDEX(Catálogo!$D$5:$D$16,MATCH(E69,Catálogo!$A$5:$A$16,0)),0)</f>
        <v>185000</v>
      </c>
      <c r="I69" s="21" t="n">
        <f aca="false">IF(OR(H69=0,G69="CÓDIGO NO EXISTE"),0,F69*H69*(1-IFERROR(VLOOKUP(INDEX(Catálogo!$C$5:$C$16,MATCH(E69,Catálogo!$A$5:$A$16,0)),Catálogo!$I$6:$J$11,2,FALSE()),0)))</f>
        <v>878750</v>
      </c>
    </row>
    <row r="70" customFormat="false" ht="15" hidden="false" customHeight="true" outlineLevel="0" collapsed="false">
      <c r="A70" s="15" t="s">
        <v>178</v>
      </c>
      <c r="B70" s="19" t="n">
        <v>46166</v>
      </c>
      <c r="C70" s="15" t="s">
        <v>103</v>
      </c>
      <c r="D70" s="15" t="s">
        <v>104</v>
      </c>
      <c r="E70" s="15" t="s">
        <v>75</v>
      </c>
      <c r="F70" s="15" t="n">
        <v>4</v>
      </c>
      <c r="G70" s="20" t="str">
        <f aca="false">IFERROR(INDEX(Catálogo!$B$5:$B$16,MATCH(E70,Catálogo!$A$5:$A$16,0)),"CÓDIGO NO EXISTE")</f>
        <v>Portátil 14"</v>
      </c>
      <c r="H70" s="21" t="n">
        <f aca="false">IFERROR(INDEX(Catálogo!$D$5:$D$16,MATCH(E70,Catálogo!$A$5:$A$16,0)),0)</f>
        <v>3200000</v>
      </c>
      <c r="I70" s="21" t="n">
        <f aca="false">IF(OR(H70=0,G70="CÓDIGO NO EXISTE"),0,F70*H70*(1-IFERROR(VLOOKUP(INDEX(Catálogo!$C$5:$C$16,MATCH(E70,Catálogo!$A$5:$A$16,0)),Catálogo!$I$6:$J$11,2,FALSE()),0)))</f>
        <v>11520000</v>
      </c>
    </row>
    <row r="71" customFormat="false" ht="15" hidden="false" customHeight="true" outlineLevel="0" collapsed="false">
      <c r="A71" s="15" t="s">
        <v>179</v>
      </c>
      <c r="B71" s="19" t="n">
        <v>46167</v>
      </c>
      <c r="C71" s="15" t="s">
        <v>106</v>
      </c>
      <c r="D71" s="15" t="s">
        <v>107</v>
      </c>
      <c r="E71" s="15" t="s">
        <v>81</v>
      </c>
      <c r="F71" s="15" t="n">
        <v>4</v>
      </c>
      <c r="G71" s="20" t="str">
        <f aca="false">IFERROR(INDEX(Catálogo!$B$5:$B$16,MATCH(E71,Catálogo!$A$5:$A$16,0)),"CÓDIGO NO EXISTE")</f>
        <v>Diadema USB</v>
      </c>
      <c r="H71" s="21" t="n">
        <f aca="false">IFERROR(INDEX(Catálogo!$D$5:$D$16,MATCH(E71,Catálogo!$A$5:$A$16,0)),0)</f>
        <v>145000</v>
      </c>
      <c r="I71" s="21" t="n">
        <f aca="false">IF(OR(H71=0,G71="CÓDIGO NO EXISTE"),0,F71*H71*(1-IFERROR(VLOOKUP(INDEX(Catálogo!$C$5:$C$16,MATCH(E71,Catálogo!$A$5:$A$16,0)),Catálogo!$I$6:$J$11,2,FALSE()),0)))</f>
        <v>580000</v>
      </c>
    </row>
    <row r="72" customFormat="false" ht="15" hidden="false" customHeight="true" outlineLevel="0" collapsed="false">
      <c r="A72" s="15" t="s">
        <v>180</v>
      </c>
      <c r="B72" s="19" t="n">
        <v>46169</v>
      </c>
      <c r="C72" s="15" t="s">
        <v>103</v>
      </c>
      <c r="D72" s="15" t="s">
        <v>104</v>
      </c>
      <c r="E72" s="15" t="s">
        <v>86</v>
      </c>
      <c r="F72" s="15" t="n">
        <v>1</v>
      </c>
      <c r="G72" s="20" t="str">
        <f aca="false">IFERROR(INDEX(Catálogo!$B$5:$B$16,MATCH(E72,Catálogo!$A$5:$A$16,0)),"CÓDIGO NO EXISTE")</f>
        <v>Disco SSD 1TB</v>
      </c>
      <c r="H72" s="21" t="n">
        <f aca="false">IFERROR(INDEX(Catálogo!$D$5:$D$16,MATCH(E72,Catálogo!$A$5:$A$16,0)),0)</f>
        <v>390000</v>
      </c>
      <c r="I72" s="21" t="n">
        <f aca="false">IF(OR(H72=0,G72="CÓDIGO NO EXISTE"),0,F72*H72*(1-IFERROR(VLOOKUP(INDEX(Catálogo!$C$5:$C$16,MATCH(E72,Catálogo!$A$5:$A$16,0)),Catálogo!$I$6:$J$11,2,FALSE()),0)))</f>
        <v>378300</v>
      </c>
    </row>
    <row r="73" customFormat="false" ht="15" hidden="false" customHeight="true" outlineLevel="0" collapsed="false">
      <c r="A73" s="15" t="s">
        <v>181</v>
      </c>
      <c r="B73" s="19" t="n">
        <v>46173</v>
      </c>
      <c r="C73" s="15" t="s">
        <v>110</v>
      </c>
      <c r="D73" s="15" t="s">
        <v>107</v>
      </c>
      <c r="E73" s="15" t="s">
        <v>88</v>
      </c>
      <c r="F73" s="15" t="n">
        <v>5</v>
      </c>
      <c r="G73" s="20" t="str">
        <f aca="false">IFERROR(INDEX(Catálogo!$B$5:$B$16,MATCH(E73,Catálogo!$A$5:$A$16,0)),"CÓDIGO NO EXISTE")</f>
        <v>Memoria USB 128GB</v>
      </c>
      <c r="H73" s="21" t="n">
        <f aca="false">IFERROR(INDEX(Catálogo!$D$5:$D$16,MATCH(E73,Catálogo!$A$5:$A$16,0)),0)</f>
        <v>58000</v>
      </c>
      <c r="I73" s="21" t="n">
        <f aca="false">IF(OR(H73=0,G73="CÓDIGO NO EXISTE"),0,F73*H73*(1-IFERROR(VLOOKUP(INDEX(Catálogo!$C$5:$C$16,MATCH(E73,Catálogo!$A$5:$A$16,0)),Catálogo!$I$6:$J$11,2,FALSE()),0)))</f>
        <v>281300</v>
      </c>
    </row>
    <row r="74" customFormat="false" ht="15" hidden="false" customHeight="true" outlineLevel="0" collapsed="false">
      <c r="A74" s="15" t="s">
        <v>182</v>
      </c>
      <c r="B74" s="19" t="n">
        <v>46174</v>
      </c>
      <c r="C74" s="15" t="s">
        <v>103</v>
      </c>
      <c r="D74" s="15" t="s">
        <v>104</v>
      </c>
      <c r="E74" s="15" t="s">
        <v>75</v>
      </c>
      <c r="F74" s="15" t="n">
        <v>3</v>
      </c>
      <c r="G74" s="20" t="str">
        <f aca="false">IFERROR(INDEX(Catálogo!$B$5:$B$16,MATCH(E74,Catálogo!$A$5:$A$16,0)),"CÓDIGO NO EXISTE")</f>
        <v>Portátil 14"</v>
      </c>
      <c r="H74" s="21" t="n">
        <f aca="false">IFERROR(INDEX(Catálogo!$D$5:$D$16,MATCH(E74,Catálogo!$A$5:$A$16,0)),0)</f>
        <v>3200000</v>
      </c>
      <c r="I74" s="21" t="n">
        <f aca="false">IF(OR(H74=0,G74="CÓDIGO NO EXISTE"),0,F74*H74*(1-IFERROR(VLOOKUP(INDEX(Catálogo!$C$5:$C$16,MATCH(E74,Catálogo!$A$5:$A$16,0)),Catálogo!$I$6:$J$11,2,FALSE()),0)))</f>
        <v>8640000</v>
      </c>
    </row>
    <row r="75" customFormat="false" ht="15" hidden="false" customHeight="true" outlineLevel="0" collapsed="false">
      <c r="A75" s="15" t="s">
        <v>183</v>
      </c>
      <c r="B75" s="19" t="n">
        <v>46176</v>
      </c>
      <c r="C75" s="15" t="s">
        <v>106</v>
      </c>
      <c r="D75" s="15" t="s">
        <v>107</v>
      </c>
      <c r="E75" s="15" t="s">
        <v>88</v>
      </c>
      <c r="F75" s="15" t="n">
        <v>4</v>
      </c>
      <c r="G75" s="20" t="str">
        <f aca="false">IFERROR(INDEX(Catálogo!$B$5:$B$16,MATCH(E75,Catálogo!$A$5:$A$16,0)),"CÓDIGO NO EXISTE")</f>
        <v>Memoria USB 128GB</v>
      </c>
      <c r="H75" s="21" t="n">
        <f aca="false">IFERROR(INDEX(Catálogo!$D$5:$D$16,MATCH(E75,Catálogo!$A$5:$A$16,0)),0)</f>
        <v>58000</v>
      </c>
      <c r="I75" s="21" t="n">
        <f aca="false">IF(OR(H75=0,G75="CÓDIGO NO EXISTE"),0,F75*H75*(1-IFERROR(VLOOKUP(INDEX(Catálogo!$C$5:$C$16,MATCH(E75,Catálogo!$A$5:$A$16,0)),Catálogo!$I$6:$J$11,2,FALSE()),0)))</f>
        <v>225040</v>
      </c>
    </row>
    <row r="76" customFormat="false" ht="15" hidden="false" customHeight="true" outlineLevel="0" collapsed="false">
      <c r="A76" s="15" t="s">
        <v>184</v>
      </c>
      <c r="B76" s="19" t="n">
        <v>46177</v>
      </c>
      <c r="C76" s="15" t="s">
        <v>110</v>
      </c>
      <c r="D76" s="15" t="s">
        <v>107</v>
      </c>
      <c r="E76" s="15" t="s">
        <v>67</v>
      </c>
      <c r="F76" s="15" t="n">
        <v>1</v>
      </c>
      <c r="G76" s="20" t="str">
        <f aca="false">IFERROR(INDEX(Catálogo!$B$5:$B$16,MATCH(E76,Catálogo!$A$5:$A$16,0)),"CÓDIGO NO EXISTE")</f>
        <v>Mouse inalámbrico</v>
      </c>
      <c r="H76" s="21" t="n">
        <f aca="false">IFERROR(INDEX(Catálogo!$D$5:$D$16,MATCH(E76,Catálogo!$A$5:$A$16,0)),0)</f>
        <v>72000</v>
      </c>
      <c r="I76" s="21" t="n">
        <f aca="false">IF(OR(H76=0,G76="CÓDIGO NO EXISTE"),0,F76*H76*(1-IFERROR(VLOOKUP(INDEX(Catálogo!$C$5:$C$16,MATCH(E76,Catálogo!$A$5:$A$16,0)),Catálogo!$I$6:$J$11,2,FALSE()),0)))</f>
        <v>68400</v>
      </c>
    </row>
    <row r="77" customFormat="false" ht="15" hidden="false" customHeight="true" outlineLevel="0" collapsed="false">
      <c r="A77" s="15" t="s">
        <v>185</v>
      </c>
      <c r="B77" s="19" t="n">
        <v>46180</v>
      </c>
      <c r="C77" s="15" t="s">
        <v>110</v>
      </c>
      <c r="D77" s="15" t="s">
        <v>107</v>
      </c>
      <c r="E77" s="15" t="s">
        <v>84</v>
      </c>
      <c r="F77" s="15" t="n">
        <v>1</v>
      </c>
      <c r="G77" s="20" t="str">
        <f aca="false">IFERROR(INDEX(Catálogo!$B$5:$B$16,MATCH(E77,Catálogo!$A$5:$A$16,0)),"CÓDIGO NO EXISTE")</f>
        <v>Parlantes 2.1</v>
      </c>
      <c r="H77" s="21" t="n">
        <f aca="false">IFERROR(INDEX(Catálogo!$D$5:$D$16,MATCH(E77,Catálogo!$A$5:$A$16,0)),0)</f>
        <v>230000</v>
      </c>
      <c r="I77" s="21" t="n">
        <f aca="false">IF(OR(H77=0,G77="CÓDIGO NO EXISTE"),0,F77*H77*(1-IFERROR(VLOOKUP(INDEX(Catálogo!$C$5:$C$16,MATCH(E77,Catálogo!$A$5:$A$16,0)),Catálogo!$I$6:$J$11,2,FALSE()),0)))</f>
        <v>230000</v>
      </c>
    </row>
    <row r="78" customFormat="false" ht="15" hidden="false" customHeight="true" outlineLevel="0" collapsed="false">
      <c r="A78" s="15" t="s">
        <v>186</v>
      </c>
      <c r="B78" s="19" t="n">
        <v>46186</v>
      </c>
      <c r="C78" s="15" t="s">
        <v>128</v>
      </c>
      <c r="D78" s="15" t="s">
        <v>129</v>
      </c>
      <c r="E78" s="15" t="s">
        <v>67</v>
      </c>
      <c r="F78" s="15" t="n">
        <v>6</v>
      </c>
      <c r="G78" s="20" t="str">
        <f aca="false">IFERROR(INDEX(Catálogo!$B$5:$B$16,MATCH(E78,Catálogo!$A$5:$A$16,0)),"CÓDIGO NO EXISTE")</f>
        <v>Mouse inalámbrico</v>
      </c>
      <c r="H78" s="21" t="n">
        <f aca="false">IFERROR(INDEX(Catálogo!$D$5:$D$16,MATCH(E78,Catálogo!$A$5:$A$16,0)),0)</f>
        <v>72000</v>
      </c>
      <c r="I78" s="21" t="n">
        <f aca="false">IF(OR(H78=0,G78="CÓDIGO NO EXISTE"),0,F78*H78*(1-IFERROR(VLOOKUP(INDEX(Catálogo!$C$5:$C$16,MATCH(E78,Catálogo!$A$5:$A$16,0)),Catálogo!$I$6:$J$11,2,FALSE()),0)))</f>
        <v>410400</v>
      </c>
    </row>
    <row r="79" customFormat="false" ht="15" hidden="false" customHeight="true" outlineLevel="0" collapsed="false">
      <c r="A79" s="15" t="s">
        <v>187</v>
      </c>
      <c r="B79" s="19" t="n">
        <v>46186</v>
      </c>
      <c r="C79" s="15" t="s">
        <v>128</v>
      </c>
      <c r="D79" s="15" t="s">
        <v>129</v>
      </c>
      <c r="E79" s="15" t="s">
        <v>78</v>
      </c>
      <c r="F79" s="15" t="n">
        <v>5</v>
      </c>
      <c r="G79" s="20" t="str">
        <f aca="false">IFERROR(INDEX(Catálogo!$B$5:$B$16,MATCH(E79,Catálogo!$A$5:$A$16,0)),"CÓDIGO NO EXISTE")</f>
        <v>Portátil 16"</v>
      </c>
      <c r="H79" s="21" t="n">
        <f aca="false">IFERROR(INDEX(Catálogo!$D$5:$D$16,MATCH(E79,Catálogo!$A$5:$A$16,0)),0)</f>
        <v>4550000</v>
      </c>
      <c r="I79" s="21" t="n">
        <f aca="false">IF(OR(H79=0,G79="CÓDIGO NO EXISTE"),0,F79*H79*(1-IFERROR(VLOOKUP(INDEX(Catálogo!$C$5:$C$16,MATCH(E79,Catálogo!$A$5:$A$16,0)),Catálogo!$I$6:$J$11,2,FALSE()),0)))</f>
        <v>20475000</v>
      </c>
    </row>
    <row r="80" customFormat="false" ht="15" hidden="false" customHeight="true" outlineLevel="0" collapsed="false">
      <c r="A80" s="15" t="s">
        <v>188</v>
      </c>
      <c r="B80" s="19" t="n">
        <v>46188</v>
      </c>
      <c r="C80" s="15" t="s">
        <v>110</v>
      </c>
      <c r="D80" s="15" t="s">
        <v>107</v>
      </c>
      <c r="E80" s="15" t="s">
        <v>92</v>
      </c>
      <c r="F80" s="15" t="n">
        <v>3</v>
      </c>
      <c r="G80" s="20" t="str">
        <f aca="false">IFERROR(INDEX(Catálogo!$B$5:$B$16,MATCH(E80,Catálogo!$A$5:$A$16,0)),"CÓDIGO NO EXISTE")</f>
        <v>Base refrigerante</v>
      </c>
      <c r="H80" s="21" t="n">
        <f aca="false">IFERROR(INDEX(Catálogo!$D$5:$D$16,MATCH(E80,Catálogo!$A$5:$A$16,0)),0)</f>
        <v>89000</v>
      </c>
      <c r="I80" s="21" t="n">
        <f aca="false">IF(OR(H80=0,G80="CÓDIGO NO EXISTE"),0,F80*H80*(1-IFERROR(VLOOKUP(INDEX(Catálogo!$C$5:$C$16,MATCH(E80,Catálogo!$A$5:$A$16,0)),Catálogo!$I$6:$J$11,2,FALSE()),0)))</f>
        <v>234960</v>
      </c>
    </row>
    <row r="81" customFormat="false" ht="15" hidden="false" customHeight="true" outlineLevel="0" collapsed="false">
      <c r="A81" s="15" t="s">
        <v>189</v>
      </c>
      <c r="B81" s="19" t="n">
        <v>46192</v>
      </c>
      <c r="C81" s="15" t="s">
        <v>103</v>
      </c>
      <c r="D81" s="15" t="s">
        <v>104</v>
      </c>
      <c r="E81" s="15" t="s">
        <v>63</v>
      </c>
      <c r="F81" s="15" t="n">
        <v>4</v>
      </c>
      <c r="G81" s="20" t="str">
        <f aca="false">IFERROR(INDEX(Catálogo!$B$5:$B$16,MATCH(E81,Catálogo!$A$5:$A$16,0)),"CÓDIGO NO EXISTE")</f>
        <v>Teclado mecánico</v>
      </c>
      <c r="H81" s="21" t="n">
        <f aca="false">IFERROR(INDEX(Catálogo!$D$5:$D$16,MATCH(E81,Catálogo!$A$5:$A$16,0)),0)</f>
        <v>185000</v>
      </c>
      <c r="I81" s="21" t="n">
        <f aca="false">IF(OR(H81=0,G81="CÓDIGO NO EXISTE"),0,F81*H81*(1-IFERROR(VLOOKUP(INDEX(Catálogo!$C$5:$C$16,MATCH(E81,Catálogo!$A$5:$A$16,0)),Catálogo!$I$6:$J$11,2,FALSE()),0)))</f>
        <v>703000</v>
      </c>
    </row>
    <row r="82" customFormat="false" ht="15" hidden="false" customHeight="true" outlineLevel="0" collapsed="false">
      <c r="A82" s="15" t="s">
        <v>190</v>
      </c>
      <c r="B82" s="19" t="n">
        <v>46193</v>
      </c>
      <c r="C82" s="15" t="s">
        <v>110</v>
      </c>
      <c r="D82" s="15" t="s">
        <v>107</v>
      </c>
      <c r="E82" s="15" t="s">
        <v>81</v>
      </c>
      <c r="F82" s="15" t="n">
        <v>6</v>
      </c>
      <c r="G82" s="20" t="str">
        <f aca="false">IFERROR(INDEX(Catálogo!$B$5:$B$16,MATCH(E82,Catálogo!$A$5:$A$16,0)),"CÓDIGO NO EXISTE")</f>
        <v>Diadema USB</v>
      </c>
      <c r="H82" s="21" t="n">
        <f aca="false">IFERROR(INDEX(Catálogo!$D$5:$D$16,MATCH(E82,Catálogo!$A$5:$A$16,0)),0)</f>
        <v>145000</v>
      </c>
      <c r="I82" s="21" t="n">
        <f aca="false">IF(OR(H82=0,G82="CÓDIGO NO EXISTE"),0,F82*H82*(1-IFERROR(VLOOKUP(INDEX(Catálogo!$C$5:$C$16,MATCH(E82,Catálogo!$A$5:$A$16,0)),Catálogo!$I$6:$J$11,2,FALSE()),0)))</f>
        <v>870000</v>
      </c>
    </row>
    <row r="83" customFormat="false" ht="15" hidden="false" customHeight="true" outlineLevel="0" collapsed="false">
      <c r="A83" s="15" t="s">
        <v>191</v>
      </c>
      <c r="B83" s="19" t="n">
        <v>46197</v>
      </c>
      <c r="C83" s="15" t="s">
        <v>110</v>
      </c>
      <c r="D83" s="15" t="s">
        <v>107</v>
      </c>
      <c r="E83" s="15" t="s">
        <v>84</v>
      </c>
      <c r="F83" s="15" t="n">
        <v>6</v>
      </c>
      <c r="G83" s="20" t="str">
        <f aca="false">IFERROR(INDEX(Catálogo!$B$5:$B$16,MATCH(E83,Catálogo!$A$5:$A$16,0)),"CÓDIGO NO EXISTE")</f>
        <v>Parlantes 2.1</v>
      </c>
      <c r="H83" s="21" t="n">
        <f aca="false">IFERROR(INDEX(Catálogo!$D$5:$D$16,MATCH(E83,Catálogo!$A$5:$A$16,0)),0)</f>
        <v>230000</v>
      </c>
      <c r="I83" s="21" t="n">
        <f aca="false">IF(OR(H83=0,G83="CÓDIGO NO EXISTE"),0,F83*H83*(1-IFERROR(VLOOKUP(INDEX(Catálogo!$C$5:$C$16,MATCH(E83,Catálogo!$A$5:$A$16,0)),Catálogo!$I$6:$J$11,2,FALSE()),0)))</f>
        <v>1380000</v>
      </c>
    </row>
    <row r="84" customFormat="false" ht="15" hidden="false" customHeight="true" outlineLevel="0" collapsed="false">
      <c r="A84" s="15" t="s">
        <v>192</v>
      </c>
      <c r="B84" s="19" t="n">
        <v>46202</v>
      </c>
      <c r="C84" s="15" t="s">
        <v>110</v>
      </c>
      <c r="D84" s="15" t="s">
        <v>107</v>
      </c>
      <c r="E84" s="15" t="s">
        <v>63</v>
      </c>
      <c r="F84" s="15" t="n">
        <v>6</v>
      </c>
      <c r="G84" s="20" t="str">
        <f aca="false">IFERROR(INDEX(Catálogo!$B$5:$B$16,MATCH(E84,Catálogo!$A$5:$A$16,0)),"CÓDIGO NO EXISTE")</f>
        <v>Teclado mecánico</v>
      </c>
      <c r="H84" s="21" t="n">
        <f aca="false">IFERROR(INDEX(Catálogo!$D$5:$D$16,MATCH(E84,Catálogo!$A$5:$A$16,0)),0)</f>
        <v>185000</v>
      </c>
      <c r="I84" s="21" t="n">
        <f aca="false">IF(OR(H84=0,G84="CÓDIGO NO EXISTE"),0,F84*H84*(1-IFERROR(VLOOKUP(INDEX(Catálogo!$C$5:$C$16,MATCH(E84,Catálogo!$A$5:$A$16,0)),Catálogo!$I$6:$J$11,2,FALSE()),0)))</f>
        <v>1054500</v>
      </c>
    </row>
  </sheetData>
  <dataValidations count="1">
    <dataValidation allowBlank="true" error="El código no existe en el catálogo" errorStyle="stop" errorTitle="Código inválido" operator="between" showDropDown="false" showErrorMessage="false" showInputMessage="false" sqref="E5:E84" type="list">
      <formula1>Catálogo!$A$5:$A$16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4"/>
    <col collapsed="false" customWidth="true" hidden="false" outlineLevel="0" max="8" min="2" style="1" width="15"/>
    <col collapsed="false" customWidth="true" hidden="false" outlineLevel="0" max="9" min="9" style="1" width="12"/>
  </cols>
  <sheetData>
    <row r="1" customFormat="false" ht="18" hidden="false" customHeight="true" outlineLevel="0" collapsed="false">
      <c r="A1" s="2" t="s">
        <v>193</v>
      </c>
      <c r="B1" s="3"/>
      <c r="C1" s="3"/>
      <c r="D1" s="3"/>
      <c r="E1" s="3"/>
      <c r="F1" s="3"/>
      <c r="G1" s="3"/>
      <c r="H1" s="3"/>
      <c r="I1" s="3"/>
    </row>
    <row r="2" customFormat="false" ht="15" hidden="false" customHeight="true" outlineLevel="0" collapsed="false">
      <c r="A2" s="4" t="s">
        <v>194</v>
      </c>
      <c r="B2" s="3"/>
      <c r="C2" s="3"/>
      <c r="D2" s="3"/>
      <c r="E2" s="3"/>
      <c r="F2" s="3"/>
      <c r="G2" s="3"/>
      <c r="H2" s="3"/>
      <c r="I2" s="3"/>
    </row>
    <row r="3" customFormat="false" ht="15" hidden="false" customHeight="true" outlineLevel="0" collapsed="false">
      <c r="A3" s="3"/>
      <c r="B3" s="3"/>
      <c r="C3" s="3"/>
      <c r="D3" s="3"/>
      <c r="E3" s="3"/>
      <c r="F3" s="3"/>
      <c r="G3" s="3"/>
      <c r="H3" s="3"/>
      <c r="I3" s="3"/>
    </row>
    <row r="4" customFormat="false" ht="15" hidden="false" customHeight="true" outlineLevel="0" collapsed="false">
      <c r="A4" s="8" t="s">
        <v>99</v>
      </c>
      <c r="B4" s="22" t="n">
        <v>46023</v>
      </c>
      <c r="C4" s="22" t="n">
        <v>46054</v>
      </c>
      <c r="D4" s="22" t="n">
        <v>46082</v>
      </c>
      <c r="E4" s="22" t="n">
        <v>46113</v>
      </c>
      <c r="F4" s="22" t="n">
        <v>46143</v>
      </c>
      <c r="G4" s="22" t="n">
        <v>46174</v>
      </c>
      <c r="H4" s="8" t="s">
        <v>101</v>
      </c>
      <c r="I4" s="8" t="s">
        <v>195</v>
      </c>
    </row>
    <row r="5" customFormat="false" ht="15" hidden="false" customHeight="true" outlineLevel="0" collapsed="false">
      <c r="A5" s="23" t="s">
        <v>107</v>
      </c>
      <c r="B5" s="21" t="n">
        <f aca="false">SUMIFS(Ventas!$I$5:$I$84,Ventas!$D$5:$D$84,$A5,Ventas!$B$5:$B$84,"&gt;="&amp;B$4,Ventas!$B$5:$B$84,"&lt;"&amp;DATE(YEAR(B$4),MONTH(B$4)+1,1))</f>
        <v>33499800</v>
      </c>
      <c r="C5" s="21" t="n">
        <f aca="false">SUMIFS(Ventas!$I$5:$I$84,Ventas!$D$5:$D$84,$A5,Ventas!$B$5:$B$84,"&gt;="&amp;C$4,Ventas!$B$5:$B$84,"&lt;"&amp;DATE(YEAR(C$4),MONTH(C$4)+1,1))</f>
        <v>3596550</v>
      </c>
      <c r="D5" s="21" t="n">
        <f aca="false">SUMIFS(Ventas!$I$5:$I$84,Ventas!$D$5:$D$84,$A5,Ventas!$B$5:$B$84,"&gt;="&amp;D$4,Ventas!$B$5:$B$84,"&lt;"&amp;DATE(YEAR(D$4),MONTH(D$4)+1,1))</f>
        <v>2076650</v>
      </c>
      <c r="E5" s="21" t="n">
        <f aca="false">SUMIFS(Ventas!$I$5:$I$84,Ventas!$D$5:$D$84,$A5,Ventas!$B$5:$B$84,"&gt;="&amp;E$4,Ventas!$B$5:$B$84,"&lt;"&amp;DATE(YEAR(E$4),MONTH(E$4)+1,1))</f>
        <v>7608400</v>
      </c>
      <c r="F5" s="21" t="n">
        <f aca="false">SUMIFS(Ventas!$I$5:$I$84,Ventas!$D$5:$D$84,$A5,Ventas!$B$5:$B$84,"&gt;="&amp;F$4,Ventas!$B$5:$B$84,"&lt;"&amp;DATE(YEAR(F$4),MONTH(F$4)+1,1))</f>
        <v>3794950</v>
      </c>
      <c r="G5" s="21" t="n">
        <f aca="false">SUMIFS(Ventas!$I$5:$I$84,Ventas!$D$5:$D$84,$A5,Ventas!$B$5:$B$84,"&gt;="&amp;G$4,Ventas!$B$5:$B$84,"&lt;"&amp;DATE(YEAR(G$4),MONTH(G$4)+1,1))</f>
        <v>4062900</v>
      </c>
      <c r="H5" s="21" t="n">
        <f aca="false">SUM(B5:G5)</f>
        <v>54639250</v>
      </c>
      <c r="I5" s="24" t="n">
        <f aca="false">IF($H$9=0,0,H5/$H$9)</f>
        <v>0.403411785352747</v>
      </c>
    </row>
    <row r="6" customFormat="false" ht="15" hidden="false" customHeight="true" outlineLevel="0" collapsed="false">
      <c r="A6" s="23" t="s">
        <v>104</v>
      </c>
      <c r="B6" s="21" t="n">
        <f aca="false">SUMIFS(Ventas!$I$5:$I$84,Ventas!$D$5:$D$84,$A6,Ventas!$B$5:$B$84,"&gt;="&amp;B$4,Ventas!$B$5:$B$84,"&lt;"&amp;DATE(YEAR(B$4),MONTH(B$4)+1,1))</f>
        <v>4409240</v>
      </c>
      <c r="C6" s="21" t="n">
        <f aca="false">SUMIFS(Ventas!$I$5:$I$84,Ventas!$D$5:$D$84,$A6,Ventas!$B$5:$B$84,"&gt;="&amp;C$4,Ventas!$B$5:$B$84,"&lt;"&amp;DATE(YEAR(C$4),MONTH(C$4)+1,1))</f>
        <v>1282500</v>
      </c>
      <c r="D6" s="21" t="n">
        <f aca="false">SUMIFS(Ventas!$I$5:$I$84,Ventas!$D$5:$D$84,$A6,Ventas!$B$5:$B$84,"&gt;="&amp;D$4,Ventas!$B$5:$B$84,"&lt;"&amp;DATE(YEAR(D$4),MONTH(D$4)+1,1))</f>
        <v>2294120</v>
      </c>
      <c r="E6" s="21" t="n">
        <f aca="false">SUMIFS(Ventas!$I$5:$I$84,Ventas!$D$5:$D$84,$A6,Ventas!$B$5:$B$84,"&gt;="&amp;E$4,Ventas!$B$5:$B$84,"&lt;"&amp;DATE(YEAR(E$4),MONTH(E$4)+1,1))</f>
        <v>205200</v>
      </c>
      <c r="F6" s="21" t="n">
        <f aca="false">SUMIFS(Ventas!$I$5:$I$84,Ventas!$D$5:$D$84,$A6,Ventas!$B$5:$B$84,"&gt;="&amp;F$4,Ventas!$B$5:$B$84,"&lt;"&amp;DATE(YEAR(F$4),MONTH(F$4)+1,1))</f>
        <v>11898300</v>
      </c>
      <c r="G6" s="21" t="n">
        <f aca="false">SUMIFS(Ventas!$I$5:$I$84,Ventas!$D$5:$D$84,$A6,Ventas!$B$5:$B$84,"&gt;="&amp;G$4,Ventas!$B$5:$B$84,"&lt;"&amp;DATE(YEAR(G$4),MONTH(G$4)+1,1))</f>
        <v>9343000</v>
      </c>
      <c r="H6" s="21" t="n">
        <f aca="false">SUM(B6:G6)</f>
        <v>29432360</v>
      </c>
      <c r="I6" s="24" t="n">
        <f aca="false">IF($H$9=0,0,H6/$H$9)</f>
        <v>0.21730460968525</v>
      </c>
    </row>
    <row r="7" customFormat="false" ht="15" hidden="false" customHeight="true" outlineLevel="0" collapsed="false">
      <c r="A7" s="23" t="s">
        <v>129</v>
      </c>
      <c r="B7" s="21" t="n">
        <f aca="false">SUMIFS(Ventas!$I$5:$I$84,Ventas!$D$5:$D$84,$A7,Ventas!$B$5:$B$84,"&gt;="&amp;B$4,Ventas!$B$5:$B$84,"&lt;"&amp;DATE(YEAR(B$4),MONTH(B$4)+1,1))</f>
        <v>0</v>
      </c>
      <c r="C7" s="21" t="n">
        <f aca="false">SUMIFS(Ventas!$I$5:$I$84,Ventas!$D$5:$D$84,$A7,Ventas!$B$5:$B$84,"&gt;="&amp;C$4,Ventas!$B$5:$B$84,"&lt;"&amp;DATE(YEAR(C$4),MONTH(C$4)+1,1))</f>
        <v>4863300</v>
      </c>
      <c r="D7" s="21" t="n">
        <f aca="false">SUMIFS(Ventas!$I$5:$I$84,Ventas!$D$5:$D$84,$A7,Ventas!$B$5:$B$84,"&gt;="&amp;D$4,Ventas!$B$5:$B$84,"&lt;"&amp;DATE(YEAR(D$4),MONTH(D$4)+1,1))</f>
        <v>1614960</v>
      </c>
      <c r="E7" s="21" t="n">
        <f aca="false">SUMIFS(Ventas!$I$5:$I$84,Ventas!$D$5:$D$84,$A7,Ventas!$B$5:$B$84,"&gt;="&amp;E$4,Ventas!$B$5:$B$84,"&lt;"&amp;DATE(YEAR(E$4),MONTH(E$4)+1,1))</f>
        <v>6966260</v>
      </c>
      <c r="F7" s="21" t="n">
        <f aca="false">SUMIFS(Ventas!$I$5:$I$84,Ventas!$D$5:$D$84,$A7,Ventas!$B$5:$B$84,"&gt;="&amp;F$4,Ventas!$B$5:$B$84,"&lt;"&amp;DATE(YEAR(F$4),MONTH(F$4)+1,1))</f>
        <v>8722430</v>
      </c>
      <c r="G7" s="21" t="n">
        <f aca="false">SUMIFS(Ventas!$I$5:$I$84,Ventas!$D$5:$D$84,$A7,Ventas!$B$5:$B$84,"&gt;="&amp;G$4,Ventas!$B$5:$B$84,"&lt;"&amp;DATE(YEAR(G$4),MONTH(G$4)+1,1))</f>
        <v>20885400</v>
      </c>
      <c r="H7" s="21" t="n">
        <f aca="false">SUM(B7:G7)</f>
        <v>43052350</v>
      </c>
      <c r="I7" s="24" t="n">
        <f aca="false">IF($H$9=0,0,H7/$H$9)</f>
        <v>0.317863539070015</v>
      </c>
    </row>
    <row r="8" customFormat="false" ht="15" hidden="false" customHeight="true" outlineLevel="0" collapsed="false">
      <c r="A8" s="23" t="s">
        <v>115</v>
      </c>
      <c r="B8" s="21" t="n">
        <f aca="false">SUMIFS(Ventas!$I$5:$I$84,Ventas!$D$5:$D$84,$A8,Ventas!$B$5:$B$84,"&gt;="&amp;B$4,Ventas!$B$5:$B$84,"&lt;"&amp;DATE(YEAR(B$4),MONTH(B$4)+1,1))</f>
        <v>1216310</v>
      </c>
      <c r="C8" s="21" t="n">
        <f aca="false">SUMIFS(Ventas!$I$5:$I$84,Ventas!$D$5:$D$84,$A8,Ventas!$B$5:$B$84,"&gt;="&amp;C$4,Ventas!$B$5:$B$84,"&lt;"&amp;DATE(YEAR(C$4),MONTH(C$4)+1,1))</f>
        <v>4192560</v>
      </c>
      <c r="D8" s="21" t="n">
        <f aca="false">SUMIFS(Ventas!$I$5:$I$84,Ventas!$D$5:$D$84,$A8,Ventas!$B$5:$B$84,"&gt;="&amp;D$4,Ventas!$B$5:$B$84,"&lt;"&amp;DATE(YEAR(D$4),MONTH(D$4)+1,1))</f>
        <v>1630500</v>
      </c>
      <c r="E8" s="21" t="n">
        <f aca="false">SUMIFS(Ventas!$I$5:$I$84,Ventas!$D$5:$D$84,$A8,Ventas!$B$5:$B$84,"&gt;="&amp;E$4,Ventas!$B$5:$B$84,"&lt;"&amp;DATE(YEAR(E$4),MONTH(E$4)+1,1))</f>
        <v>1223280</v>
      </c>
      <c r="F8" s="21" t="n">
        <f aca="false">SUMIFS(Ventas!$I$5:$I$84,Ventas!$D$5:$D$84,$A8,Ventas!$B$5:$B$84,"&gt;="&amp;F$4,Ventas!$B$5:$B$84,"&lt;"&amp;DATE(YEAR(F$4),MONTH(F$4)+1,1))</f>
        <v>56260</v>
      </c>
      <c r="G8" s="21" t="n">
        <f aca="false">SUMIFS(Ventas!$I$5:$I$84,Ventas!$D$5:$D$84,$A8,Ventas!$B$5:$B$84,"&gt;="&amp;G$4,Ventas!$B$5:$B$84,"&lt;"&amp;DATE(YEAR(G$4),MONTH(G$4)+1,1))</f>
        <v>0</v>
      </c>
      <c r="H8" s="21" t="n">
        <f aca="false">SUM(B8:G8)</f>
        <v>8318910</v>
      </c>
      <c r="I8" s="24" t="n">
        <f aca="false">IF($H$9=0,0,H8/$H$9)</f>
        <v>0.0614200658919883</v>
      </c>
    </row>
    <row r="9" customFormat="false" ht="15" hidden="false" customHeight="true" outlineLevel="0" collapsed="false">
      <c r="A9" s="23" t="s">
        <v>101</v>
      </c>
      <c r="B9" s="21" t="n">
        <f aca="false">SUM(B5:B8)</f>
        <v>39125350</v>
      </c>
      <c r="C9" s="21" t="n">
        <f aca="false">SUM(C5:C8)</f>
        <v>13934910</v>
      </c>
      <c r="D9" s="21" t="n">
        <f aca="false">SUM(D5:D8)</f>
        <v>7616230</v>
      </c>
      <c r="E9" s="21" t="n">
        <f aca="false">SUM(E5:E8)</f>
        <v>16003140</v>
      </c>
      <c r="F9" s="21" t="n">
        <f aca="false">SUM(F5:F8)</f>
        <v>24471940</v>
      </c>
      <c r="G9" s="21" t="n">
        <f aca="false">SUM(G5:G8)</f>
        <v>34291300</v>
      </c>
      <c r="H9" s="21" t="n">
        <f aca="false">SUM(H5:H8)</f>
        <v>135442870</v>
      </c>
      <c r="I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12"/>
    <col collapsed="false" customWidth="true" hidden="false" outlineLevel="0" max="4" min="4" style="1" width="15"/>
    <col collapsed="false" customWidth="true" hidden="false" outlineLevel="0" max="5" min="5" style="1" width="12"/>
    <col collapsed="false" customWidth="true" hidden="false" outlineLevel="0" max="6" min="6" style="1" width="13"/>
    <col collapsed="false" customWidth="true" hidden="false" outlineLevel="0" max="7" min="7" style="1" width="15"/>
    <col collapsed="false" customWidth="true" hidden="false" outlineLevel="0" max="10" min="10" style="1" width="15"/>
    <col collapsed="false" customWidth="true" hidden="false" outlineLevel="0" max="11" min="11" style="1" width="12"/>
  </cols>
  <sheetData>
    <row r="1" customFormat="false" ht="18" hidden="false" customHeight="true" outlineLevel="0" collapsed="false">
      <c r="A1" s="2" t="s">
        <v>196</v>
      </c>
      <c r="B1" s="3"/>
      <c r="C1" s="3"/>
      <c r="D1" s="3"/>
      <c r="E1" s="3"/>
      <c r="F1" s="3"/>
      <c r="G1" s="3"/>
      <c r="H1" s="3"/>
      <c r="I1" s="3"/>
      <c r="J1" s="3"/>
      <c r="K1" s="3"/>
    </row>
    <row r="2" customFormat="false" ht="15" hidden="false" customHeight="true" outlineLevel="0" collapsed="false">
      <c r="A2" s="3"/>
      <c r="B2" s="3"/>
      <c r="C2" s="3"/>
      <c r="D2" s="3"/>
      <c r="E2" s="3"/>
      <c r="F2" s="3"/>
      <c r="G2" s="3"/>
      <c r="H2" s="3"/>
      <c r="I2" s="3"/>
      <c r="J2" s="3"/>
      <c r="K2" s="3"/>
    </row>
    <row r="3" customFormat="false" ht="15" hidden="false" customHeight="true" outlineLevel="0" collapsed="false">
      <c r="A3" s="5" t="s">
        <v>197</v>
      </c>
      <c r="B3" s="3"/>
      <c r="C3" s="16" t="n">
        <v>4000000</v>
      </c>
      <c r="D3" s="3"/>
      <c r="E3" s="3"/>
      <c r="F3" s="3"/>
      <c r="G3" s="3"/>
      <c r="H3" s="3"/>
      <c r="I3" s="3"/>
      <c r="J3" s="3"/>
      <c r="K3" s="3"/>
    </row>
    <row r="4" customFormat="false" ht="15" hidden="false" customHeight="true" outlineLevel="0" collapsed="false">
      <c r="A4" s="3"/>
      <c r="B4" s="3"/>
      <c r="C4" s="3"/>
      <c r="D4" s="3"/>
      <c r="E4" s="3"/>
      <c r="F4" s="3"/>
      <c r="G4" s="3"/>
      <c r="H4" s="3"/>
      <c r="I4" s="3"/>
      <c r="J4" s="3"/>
      <c r="K4" s="3"/>
    </row>
    <row r="5" customFormat="false" ht="45" hidden="false" customHeight="true" outlineLevel="0" collapsed="false">
      <c r="A5" s="8" t="s">
        <v>98</v>
      </c>
      <c r="B5" s="18" t="s">
        <v>198</v>
      </c>
      <c r="C5" s="18" t="s">
        <v>199</v>
      </c>
      <c r="D5" s="18" t="s">
        <v>200</v>
      </c>
      <c r="E5" s="18" t="s">
        <v>201</v>
      </c>
      <c r="F5" s="18" t="s">
        <v>202</v>
      </c>
      <c r="G5" s="18" t="s">
        <v>203</v>
      </c>
      <c r="H5" s="3"/>
      <c r="I5" s="3"/>
      <c r="J5" s="5" t="s">
        <v>204</v>
      </c>
      <c r="K5" s="3"/>
    </row>
    <row r="6" customFormat="false" ht="30" hidden="false" customHeight="true" outlineLevel="0" collapsed="false">
      <c r="A6" s="15" t="s">
        <v>110</v>
      </c>
      <c r="B6" s="21" t="n">
        <f aca="false">SUMIF(Ventas!$C$5:$C$84,A6,Ventas!$I$5:$I$84)</f>
        <v>36026260</v>
      </c>
      <c r="C6" s="24" t="n">
        <f aca="false">VLOOKUP(B6,$J$7:$K$11,2,TRUE())</f>
        <v>0.05</v>
      </c>
      <c r="D6" s="21" t="n">
        <f aca="false">B6*C6</f>
        <v>1801313</v>
      </c>
      <c r="E6" s="25" t="n">
        <f aca="false">--(SUMIFS(Ventas!$I$5:$I$84,Ventas!$C$5:$C$84,A6,Ventas!$B$5:$B$84,"&gt;="&amp;DATE(2026,1,1),Ventas!$B$5:$B$84,"&lt;"&amp;DATE(2026,2,1))&gt;$C$3)+--(SUMIFS(Ventas!$I$5:$I$84,Ventas!$C$5:$C$84,A6,Ventas!$B$5:$B$84,"&gt;="&amp;DATE(2026,2,1),Ventas!$B$5:$B$84,"&lt;"&amp;DATE(2026,3,1))&gt;$C$3)+--(SUMIFS(Ventas!$I$5:$I$84,Ventas!$C$5:$C$84,A6,Ventas!$B$5:$B$84,"&gt;="&amp;DATE(2026,3,1),Ventas!$B$5:$B$84,"&lt;"&amp;DATE(2026,4,1))&gt;$C$3)+--(SUMIFS(Ventas!$I$5:$I$84,Ventas!$C$5:$C$84,A6,Ventas!$B$5:$B$84,"&gt;="&amp;DATE(2026,4,1),Ventas!$B$5:$B$84,"&lt;"&amp;DATE(2026,5,1))&gt;$C$3)+--(SUMIFS(Ventas!$I$5:$I$84,Ventas!$C$5:$C$84,A6,Ventas!$B$5:$B$84,"&gt;="&amp;DATE(2026,5,1),Ventas!$B$5:$B$84,"&lt;"&amp;DATE(2026,6,1))&gt;$C$3)+--(SUMIFS(Ventas!$I$5:$I$84,Ventas!$C$5:$C$84,A6,Ventas!$B$5:$B$84,"&gt;="&amp;DATE(2026,6,1),Ventas!$B$5:$B$84,"&lt;"&amp;DATE(2026,7,1))&gt;$C$3)</f>
        <v>2</v>
      </c>
      <c r="F6" s="21" t="n">
        <f aca="false">IF(E6&gt;=4,500000,0)</f>
        <v>0</v>
      </c>
      <c r="G6" s="21" t="n">
        <f aca="false">D6+F6</f>
        <v>1801313</v>
      </c>
      <c r="H6" s="3"/>
      <c r="I6" s="3"/>
      <c r="J6" s="8" t="s">
        <v>205</v>
      </c>
      <c r="K6" s="8" t="s">
        <v>199</v>
      </c>
    </row>
    <row r="7" customFormat="false" ht="15" hidden="false" customHeight="true" outlineLevel="0" collapsed="false">
      <c r="A7" s="15" t="s">
        <v>103</v>
      </c>
      <c r="B7" s="21" t="n">
        <f aca="false">SUMIF(Ventas!$C$5:$C$84,A7,Ventas!$I$5:$I$84)</f>
        <v>29432360</v>
      </c>
      <c r="C7" s="24" t="n">
        <f aca="false">VLOOKUP(B7,$J$7:$K$11,2,TRUE())</f>
        <v>0.035</v>
      </c>
      <c r="D7" s="21" t="n">
        <f aca="false">B7*C7</f>
        <v>1030132.6</v>
      </c>
      <c r="E7" s="25" t="n">
        <f aca="false">--(SUMIFS(Ventas!$I$5:$I$84,Ventas!$C$5:$C$84,A7,Ventas!$B$5:$B$84,"&gt;="&amp;DATE(2026,1,1),Ventas!$B$5:$B$84,"&lt;"&amp;DATE(2026,2,1))&gt;$C$3)+--(SUMIFS(Ventas!$I$5:$I$84,Ventas!$C$5:$C$84,A7,Ventas!$B$5:$B$84,"&gt;="&amp;DATE(2026,2,1),Ventas!$B$5:$B$84,"&lt;"&amp;DATE(2026,3,1))&gt;$C$3)+--(SUMIFS(Ventas!$I$5:$I$84,Ventas!$C$5:$C$84,A7,Ventas!$B$5:$B$84,"&gt;="&amp;DATE(2026,3,1),Ventas!$B$5:$B$84,"&lt;"&amp;DATE(2026,4,1))&gt;$C$3)+--(SUMIFS(Ventas!$I$5:$I$84,Ventas!$C$5:$C$84,A7,Ventas!$B$5:$B$84,"&gt;="&amp;DATE(2026,4,1),Ventas!$B$5:$B$84,"&lt;"&amp;DATE(2026,5,1))&gt;$C$3)+--(SUMIFS(Ventas!$I$5:$I$84,Ventas!$C$5:$C$84,A7,Ventas!$B$5:$B$84,"&gt;="&amp;DATE(2026,5,1),Ventas!$B$5:$B$84,"&lt;"&amp;DATE(2026,6,1))&gt;$C$3)+--(SUMIFS(Ventas!$I$5:$I$84,Ventas!$C$5:$C$84,A7,Ventas!$B$5:$B$84,"&gt;="&amp;DATE(2026,6,1),Ventas!$B$5:$B$84,"&lt;"&amp;DATE(2026,7,1))&gt;$C$3)</f>
        <v>3</v>
      </c>
      <c r="F7" s="21" t="n">
        <f aca="false">IF(E7&gt;=4,500000,0)</f>
        <v>0</v>
      </c>
      <c r="G7" s="21" t="n">
        <f aca="false">D7+F7</f>
        <v>1030132.6</v>
      </c>
      <c r="H7" s="3"/>
      <c r="I7" s="3"/>
      <c r="J7" s="16" t="n">
        <v>0</v>
      </c>
      <c r="K7" s="26" t="n">
        <v>0.01</v>
      </c>
    </row>
    <row r="8" customFormat="false" ht="15" hidden="false" customHeight="true" outlineLevel="0" collapsed="false">
      <c r="A8" s="15" t="s">
        <v>128</v>
      </c>
      <c r="B8" s="21" t="n">
        <f aca="false">SUMIF(Ventas!$C$5:$C$84,A8,Ventas!$I$5:$I$84)</f>
        <v>43052350</v>
      </c>
      <c r="C8" s="24" t="n">
        <f aca="false">VLOOKUP(B8,$J$7:$K$11,2,TRUE())</f>
        <v>0.05</v>
      </c>
      <c r="D8" s="21" t="n">
        <f aca="false">B8*C8</f>
        <v>2152617.5</v>
      </c>
      <c r="E8" s="25" t="n">
        <f aca="false">--(SUMIFS(Ventas!$I$5:$I$84,Ventas!$C$5:$C$84,A8,Ventas!$B$5:$B$84,"&gt;="&amp;DATE(2026,1,1),Ventas!$B$5:$B$84,"&lt;"&amp;DATE(2026,2,1))&gt;$C$3)+--(SUMIFS(Ventas!$I$5:$I$84,Ventas!$C$5:$C$84,A8,Ventas!$B$5:$B$84,"&gt;="&amp;DATE(2026,2,1),Ventas!$B$5:$B$84,"&lt;"&amp;DATE(2026,3,1))&gt;$C$3)+--(SUMIFS(Ventas!$I$5:$I$84,Ventas!$C$5:$C$84,A8,Ventas!$B$5:$B$84,"&gt;="&amp;DATE(2026,3,1),Ventas!$B$5:$B$84,"&lt;"&amp;DATE(2026,4,1))&gt;$C$3)+--(SUMIFS(Ventas!$I$5:$I$84,Ventas!$C$5:$C$84,A8,Ventas!$B$5:$B$84,"&gt;="&amp;DATE(2026,4,1),Ventas!$B$5:$B$84,"&lt;"&amp;DATE(2026,5,1))&gt;$C$3)+--(SUMIFS(Ventas!$I$5:$I$84,Ventas!$C$5:$C$84,A8,Ventas!$B$5:$B$84,"&gt;="&amp;DATE(2026,5,1),Ventas!$B$5:$B$84,"&lt;"&amp;DATE(2026,6,1))&gt;$C$3)+--(SUMIFS(Ventas!$I$5:$I$84,Ventas!$C$5:$C$84,A8,Ventas!$B$5:$B$84,"&gt;="&amp;DATE(2026,6,1),Ventas!$B$5:$B$84,"&lt;"&amp;DATE(2026,7,1))&gt;$C$3)</f>
        <v>4</v>
      </c>
      <c r="F8" s="21" t="n">
        <f aca="false">IF(E8&gt;=4,500000,0)</f>
        <v>500000</v>
      </c>
      <c r="G8" s="21" t="n">
        <f aca="false">D8+F8</f>
        <v>2652617.5</v>
      </c>
      <c r="H8" s="3"/>
      <c r="I8" s="3"/>
      <c r="J8" s="16" t="n">
        <v>10000000</v>
      </c>
      <c r="K8" s="26" t="n">
        <v>0.02</v>
      </c>
    </row>
    <row r="9" customFormat="false" ht="15" hidden="false" customHeight="true" outlineLevel="0" collapsed="false">
      <c r="A9" s="15" t="s">
        <v>106</v>
      </c>
      <c r="B9" s="21" t="n">
        <f aca="false">SUMIF(Ventas!$C$5:$C$84,A9,Ventas!$I$5:$I$84)</f>
        <v>18612990</v>
      </c>
      <c r="C9" s="24" t="n">
        <f aca="false">VLOOKUP(B9,$J$7:$K$11,2,TRUE())</f>
        <v>0.02</v>
      </c>
      <c r="D9" s="21" t="n">
        <f aca="false">B9*C9</f>
        <v>372259.8</v>
      </c>
      <c r="E9" s="25" t="n">
        <f aca="false">--(SUMIFS(Ventas!$I$5:$I$84,Ventas!$C$5:$C$84,A9,Ventas!$B$5:$B$84,"&gt;="&amp;DATE(2026,1,1),Ventas!$B$5:$B$84,"&lt;"&amp;DATE(2026,2,1))&gt;$C$3)+--(SUMIFS(Ventas!$I$5:$I$84,Ventas!$C$5:$C$84,A9,Ventas!$B$5:$B$84,"&gt;="&amp;DATE(2026,2,1),Ventas!$B$5:$B$84,"&lt;"&amp;DATE(2026,3,1))&gt;$C$3)+--(SUMIFS(Ventas!$I$5:$I$84,Ventas!$C$5:$C$84,A9,Ventas!$B$5:$B$84,"&gt;="&amp;DATE(2026,3,1),Ventas!$B$5:$B$84,"&lt;"&amp;DATE(2026,4,1))&gt;$C$3)+--(SUMIFS(Ventas!$I$5:$I$84,Ventas!$C$5:$C$84,A9,Ventas!$B$5:$B$84,"&gt;="&amp;DATE(2026,4,1),Ventas!$B$5:$B$84,"&lt;"&amp;DATE(2026,5,1))&gt;$C$3)+--(SUMIFS(Ventas!$I$5:$I$84,Ventas!$C$5:$C$84,A9,Ventas!$B$5:$B$84,"&gt;="&amp;DATE(2026,5,1),Ventas!$B$5:$B$84,"&lt;"&amp;DATE(2026,6,1))&gt;$C$3)+--(SUMIFS(Ventas!$I$5:$I$84,Ventas!$C$5:$C$84,A9,Ventas!$B$5:$B$84,"&gt;="&amp;DATE(2026,6,1),Ventas!$B$5:$B$84,"&lt;"&amp;DATE(2026,7,1))&gt;$C$3)</f>
        <v>1</v>
      </c>
      <c r="F9" s="21" t="n">
        <f aca="false">IF(E9&gt;=4,500000,0)</f>
        <v>0</v>
      </c>
      <c r="G9" s="21" t="n">
        <f aca="false">D9+F9</f>
        <v>372259.8</v>
      </c>
      <c r="H9" s="3"/>
      <c r="I9" s="3"/>
      <c r="J9" s="16" t="n">
        <v>20000000</v>
      </c>
      <c r="K9" s="26" t="n">
        <v>0.035</v>
      </c>
    </row>
    <row r="10" customFormat="false" ht="15" hidden="false" customHeight="true" outlineLevel="0" collapsed="false">
      <c r="A10" s="15" t="s">
        <v>114</v>
      </c>
      <c r="B10" s="21" t="n">
        <f aca="false">SUMIF(Ventas!$C$5:$C$84,A10,Ventas!$I$5:$I$84)</f>
        <v>8318910</v>
      </c>
      <c r="C10" s="24" t="n">
        <f aca="false">VLOOKUP(B10,$J$7:$K$11,2,TRUE())</f>
        <v>0.01</v>
      </c>
      <c r="D10" s="21" t="n">
        <f aca="false">B10*C10</f>
        <v>83189.1</v>
      </c>
      <c r="E10" s="25" t="n">
        <f aca="false">--(SUMIFS(Ventas!$I$5:$I$84,Ventas!$C$5:$C$84,A10,Ventas!$B$5:$B$84,"&gt;="&amp;DATE(2026,1,1),Ventas!$B$5:$B$84,"&lt;"&amp;DATE(2026,2,1))&gt;$C$3)+--(SUMIFS(Ventas!$I$5:$I$84,Ventas!$C$5:$C$84,A10,Ventas!$B$5:$B$84,"&gt;="&amp;DATE(2026,2,1),Ventas!$B$5:$B$84,"&lt;"&amp;DATE(2026,3,1))&gt;$C$3)+--(SUMIFS(Ventas!$I$5:$I$84,Ventas!$C$5:$C$84,A10,Ventas!$B$5:$B$84,"&gt;="&amp;DATE(2026,3,1),Ventas!$B$5:$B$84,"&lt;"&amp;DATE(2026,4,1))&gt;$C$3)+--(SUMIFS(Ventas!$I$5:$I$84,Ventas!$C$5:$C$84,A10,Ventas!$B$5:$B$84,"&gt;="&amp;DATE(2026,4,1),Ventas!$B$5:$B$84,"&lt;"&amp;DATE(2026,5,1))&gt;$C$3)+--(SUMIFS(Ventas!$I$5:$I$84,Ventas!$C$5:$C$84,A10,Ventas!$B$5:$B$84,"&gt;="&amp;DATE(2026,5,1),Ventas!$B$5:$B$84,"&lt;"&amp;DATE(2026,6,1))&gt;$C$3)+--(SUMIFS(Ventas!$I$5:$I$84,Ventas!$C$5:$C$84,A10,Ventas!$B$5:$B$84,"&gt;="&amp;DATE(2026,6,1),Ventas!$B$5:$B$84,"&lt;"&amp;DATE(2026,7,1))&gt;$C$3)</f>
        <v>1</v>
      </c>
      <c r="F10" s="21" t="n">
        <f aca="false">IF(E10&gt;=4,500000,0)</f>
        <v>0</v>
      </c>
      <c r="G10" s="21" t="n">
        <f aca="false">D10+F10</f>
        <v>83189.1</v>
      </c>
      <c r="H10" s="3"/>
      <c r="I10" s="3"/>
      <c r="J10" s="16" t="n">
        <v>35000000</v>
      </c>
      <c r="K10" s="26" t="n">
        <v>0.05</v>
      </c>
    </row>
    <row r="11" customFormat="false" ht="15" hidden="false" customHeight="true" outlineLevel="0" collapsed="false">
      <c r="A11" s="3"/>
      <c r="B11" s="3"/>
      <c r="C11" s="3"/>
      <c r="D11" s="3"/>
      <c r="E11" s="3"/>
      <c r="F11" s="3"/>
      <c r="G11" s="3"/>
      <c r="H11" s="3"/>
      <c r="I11" s="3"/>
      <c r="J11" s="16" t="n">
        <v>50000000</v>
      </c>
      <c r="K11" s="26" t="n">
        <v>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8"/>
    <col collapsed="false" customWidth="true" hidden="false" outlineLevel="0" max="4" min="2" style="1" width="15"/>
    <col collapsed="false" customWidth="true" hidden="false" outlineLevel="0" max="5" min="5" style="1" width="22"/>
    <col collapsed="false" customWidth="true" hidden="false" outlineLevel="0" max="6" min="6" style="1" width="9"/>
    <col collapsed="false" customWidth="true" hidden="false" outlineLevel="0" max="7" min="7" style="1" width="14"/>
    <col collapsed="false" customWidth="true" hidden="false" outlineLevel="0" max="8" min="8" style="1" width="18"/>
  </cols>
  <sheetData>
    <row r="1" customFormat="false" ht="18" hidden="false" customHeight="true" outlineLevel="0" collapsed="false">
      <c r="A1" s="2" t="s">
        <v>206</v>
      </c>
      <c r="B1" s="3"/>
      <c r="C1" s="3"/>
      <c r="D1" s="3"/>
      <c r="E1" s="3"/>
      <c r="F1" s="3"/>
      <c r="G1" s="3"/>
      <c r="H1" s="3"/>
    </row>
    <row r="2" customFormat="false" ht="15" hidden="false" customHeight="true" outlineLevel="0" collapsed="false">
      <c r="A2" s="3"/>
      <c r="B2" s="3"/>
      <c r="C2" s="3"/>
      <c r="D2" s="3"/>
      <c r="E2" s="3"/>
      <c r="F2" s="3"/>
      <c r="G2" s="3"/>
      <c r="H2" s="3"/>
    </row>
    <row r="3" customFormat="false" ht="15" hidden="false" customHeight="true" outlineLevel="0" collapsed="false">
      <c r="A3" s="5" t="s">
        <v>207</v>
      </c>
      <c r="B3" s="19" t="n">
        <v>46203</v>
      </c>
      <c r="C3" s="3"/>
      <c r="D3" s="3"/>
      <c r="E3" s="3"/>
      <c r="F3" s="3"/>
      <c r="G3" s="3"/>
      <c r="H3" s="3"/>
    </row>
    <row r="4" customFormat="false" ht="15" hidden="false" customHeight="true" outlineLevel="0" collapsed="false">
      <c r="A4" s="3"/>
      <c r="B4" s="3"/>
      <c r="C4" s="3"/>
      <c r="D4" s="3"/>
      <c r="E4" s="3"/>
      <c r="F4" s="3"/>
      <c r="G4" s="3"/>
      <c r="H4" s="3"/>
    </row>
    <row r="5" customFormat="false" ht="30" hidden="false" customHeight="true" outlineLevel="0" collapsed="false">
      <c r="A5" s="8" t="s">
        <v>208</v>
      </c>
      <c r="B5" s="8" t="s">
        <v>209</v>
      </c>
      <c r="C5" s="8" t="s">
        <v>210</v>
      </c>
      <c r="D5" s="8" t="s">
        <v>211</v>
      </c>
      <c r="E5" s="18" t="s">
        <v>212</v>
      </c>
      <c r="F5" s="18" t="s">
        <v>213</v>
      </c>
      <c r="G5" s="18" t="s">
        <v>214</v>
      </c>
      <c r="H5" s="18" t="s">
        <v>215</v>
      </c>
    </row>
    <row r="6" customFormat="false" ht="15" hidden="false" customHeight="true" outlineLevel="0" collapsed="false">
      <c r="A6" s="15" t="s">
        <v>216</v>
      </c>
      <c r="B6" s="15" t="s">
        <v>217</v>
      </c>
      <c r="C6" s="19" t="n">
        <v>44515</v>
      </c>
      <c r="D6" s="16" t="n">
        <v>3800000</v>
      </c>
      <c r="E6" s="20" t="str">
        <f aca="false">IF(DATEDIF(C6,$B$3,"Y")=0,DATEDIF(C6,$B$3,"M")&amp;" meses",DATEDIF(C6,$B$3,"Y")&amp;" años y "&amp;DATEDIF(C6,$B$3,"YM")&amp;" meses")</f>
        <v>4 años y 7 meses</v>
      </c>
      <c r="F6" s="27" t="n">
        <f aca="false">IF(DATEDIF(C6,$B$3,"Y")&lt;2,0,IF(DATEDIF(C6,$B$3,"Y")&lt;5,0.05,IF(DATEDIF(C6,$B$3,"Y")&lt;10,0.1,0.15)))</f>
        <v>0.05</v>
      </c>
      <c r="G6" s="21" t="n">
        <f aca="false">D6*F6</f>
        <v>190000</v>
      </c>
      <c r="H6" s="28" t="n">
        <f aca="false">IF(DATE(YEAR($B$3),MONTH(C6),MIN(DAY(C6),DAY(DATE(YEAR($B$3),MONTH(C6)+1,0))))&gt;$B$3,DATE(YEAR($B$3),MONTH(C6),MIN(DAY(C6),DAY(DATE(YEAR($B$3),MONTH(C6)+1,0)))),DATE(YEAR($B$3)+1,MONTH(C6),MIN(DAY(C6),DAY(DATE(YEAR($B$3)+1,MONTH(C6)+1,0)))))</f>
        <v>46341</v>
      </c>
    </row>
    <row r="7" customFormat="false" ht="15" hidden="false" customHeight="true" outlineLevel="0" collapsed="false">
      <c r="A7" s="15" t="s">
        <v>218</v>
      </c>
      <c r="B7" s="15" t="s">
        <v>219</v>
      </c>
      <c r="C7" s="19" t="n">
        <v>41700</v>
      </c>
      <c r="D7" s="16" t="n">
        <v>6200000</v>
      </c>
      <c r="E7" s="20" t="str">
        <f aca="false">IF(DATEDIF(C7,$B$3,"Y")=0,DATEDIF(C7,$B$3,"M")&amp;" meses",DATEDIF(C7,$B$3,"Y")&amp;" años y "&amp;DATEDIF(C7,$B$3,"YM")&amp;" meses")</f>
        <v>12 años y 3 meses</v>
      </c>
      <c r="F7" s="27" t="n">
        <f aca="false">IF(DATEDIF(C7,$B$3,"Y")&lt;2,0,IF(DATEDIF(C7,$B$3,"Y")&lt;5,0.05,IF(DATEDIF(C7,$B$3,"Y")&lt;10,0.1,0.15)))</f>
        <v>0.15</v>
      </c>
      <c r="G7" s="21" t="n">
        <f aca="false">D7*F7</f>
        <v>930000</v>
      </c>
      <c r="H7" s="28" t="n">
        <f aca="false">IF(DATE(YEAR($B$3),MONTH(C7),MIN(DAY(C7),DAY(DATE(YEAR($B$3),MONTH(C7)+1,0))))&gt;$B$3,DATE(YEAR($B$3),MONTH(C7),MIN(DAY(C7),DAY(DATE(YEAR($B$3),MONTH(C7)+1,0)))),DATE(YEAR($B$3)+1,MONTH(C7),MIN(DAY(C7),DAY(DATE(YEAR($B$3)+1,MONTH(C7)+1,0)))))</f>
        <v>46448</v>
      </c>
    </row>
    <row r="8" customFormat="false" ht="15" hidden="false" customHeight="true" outlineLevel="0" collapsed="false">
      <c r="A8" s="15" t="s">
        <v>220</v>
      </c>
      <c r="B8" s="15" t="s">
        <v>221</v>
      </c>
      <c r="C8" s="19" t="n">
        <v>45992</v>
      </c>
      <c r="D8" s="16" t="n">
        <v>1900000</v>
      </c>
      <c r="E8" s="20" t="str">
        <f aca="false">IF(DATEDIF(C8,$B$3,"Y")=0,DATEDIF(C8,$B$3,"M")&amp;" meses",DATEDIF(C8,$B$3,"Y")&amp;" años y "&amp;DATEDIF(C8,$B$3,"YM")&amp;" meses")</f>
        <v>6 meses</v>
      </c>
      <c r="F8" s="27" t="n">
        <f aca="false">IF(DATEDIF(C8,$B$3,"Y")&lt;2,0,IF(DATEDIF(C8,$B$3,"Y")&lt;5,0.05,IF(DATEDIF(C8,$B$3,"Y")&lt;10,0.1,0.15)))</f>
        <v>0</v>
      </c>
      <c r="G8" s="21" t="n">
        <f aca="false">D8*F8</f>
        <v>0</v>
      </c>
      <c r="H8" s="28" t="n">
        <f aca="false">IF(DATE(YEAR($B$3),MONTH(C8),MIN(DAY(C8),DAY(DATE(YEAR($B$3),MONTH(C8)+1,0))))&gt;$B$3,DATE(YEAR($B$3),MONTH(C8),MIN(DAY(C8),DAY(DATE(YEAR($B$3),MONTH(C8)+1,0)))),DATE(YEAR($B$3)+1,MONTH(C8),MIN(DAY(C8),DAY(DATE(YEAR($B$3)+1,MONTH(C8)+1,0)))))</f>
        <v>46357</v>
      </c>
    </row>
    <row r="9" customFormat="false" ht="15" hidden="false" customHeight="true" outlineLevel="0" collapsed="false">
      <c r="A9" s="15" t="s">
        <v>222</v>
      </c>
      <c r="B9" s="15" t="s">
        <v>223</v>
      </c>
      <c r="C9" s="19" t="n">
        <v>43646</v>
      </c>
      <c r="D9" s="16" t="n">
        <v>5400000</v>
      </c>
      <c r="E9" s="20" t="str">
        <f aca="false">IF(DATEDIF(C9,$B$3,"Y")=0,DATEDIF(C9,$B$3,"M")&amp;" meses",DATEDIF(C9,$B$3,"Y")&amp;" años y "&amp;DATEDIF(C9,$B$3,"YM")&amp;" meses")</f>
        <v>7 años y 0 meses</v>
      </c>
      <c r="F9" s="27" t="n">
        <f aca="false">IF(DATEDIF(C9,$B$3,"Y")&lt;2,0,IF(DATEDIF(C9,$B$3,"Y")&lt;5,0.05,IF(DATEDIF(C9,$B$3,"Y")&lt;10,0.1,0.15)))</f>
        <v>0.1</v>
      </c>
      <c r="G9" s="21" t="n">
        <f aca="false">D9*F9</f>
        <v>540000</v>
      </c>
      <c r="H9" s="28" t="n">
        <f aca="false">IF(DATE(YEAR($B$3),MONTH(C9),MIN(DAY(C9),DAY(DATE(YEAR($B$3),MONTH(C9)+1,0))))&gt;$B$3,DATE(YEAR($B$3),MONTH(C9),MIN(DAY(C9),DAY(DATE(YEAR($B$3),MONTH(C9)+1,0)))),DATE(YEAR($B$3)+1,MONTH(C9),MIN(DAY(C9),DAY(DATE(YEAR($B$3)+1,MONTH(C9)+1,0)))))</f>
        <v>46568</v>
      </c>
    </row>
    <row r="10" customFormat="false" ht="15" hidden="false" customHeight="true" outlineLevel="0" collapsed="false">
      <c r="A10" s="15" t="s">
        <v>224</v>
      </c>
      <c r="B10" s="15" t="s">
        <v>225</v>
      </c>
      <c r="C10" s="19" t="n">
        <v>39680</v>
      </c>
      <c r="D10" s="16" t="n">
        <v>11500000</v>
      </c>
      <c r="E10" s="20" t="str">
        <f aca="false">IF(DATEDIF(C10,$B$3,"Y")=0,DATEDIF(C10,$B$3,"M")&amp;" meses",DATEDIF(C10,$B$3,"Y")&amp;" años y "&amp;DATEDIF(C10,$B$3,"YM")&amp;" meses")</f>
        <v>17 años y 10 meses</v>
      </c>
      <c r="F10" s="27" t="n">
        <f aca="false">IF(DATEDIF(C10,$B$3,"Y")&lt;2,0,IF(DATEDIF(C10,$B$3,"Y")&lt;5,0.05,IF(DATEDIF(C10,$B$3,"Y")&lt;10,0.1,0.15)))</f>
        <v>0.15</v>
      </c>
      <c r="G10" s="21" t="n">
        <f aca="false">D10*F10</f>
        <v>1725000</v>
      </c>
      <c r="H10" s="28" t="n">
        <f aca="false">IF(DATE(YEAR($B$3),MONTH(C10),MIN(DAY(C10),DAY(DATE(YEAR($B$3),MONTH(C10)+1,0))))&gt;$B$3,DATE(YEAR($B$3),MONTH(C10),MIN(DAY(C10),DAY(DATE(YEAR($B$3),MONTH(C10)+1,0)))),DATE(YEAR($B$3)+1,MONTH(C10),MIN(DAY(C10),DAY(DATE(YEAR($B$3)+1,MONTH(C10)+1,0)))))</f>
        <v>46254</v>
      </c>
    </row>
    <row r="11" customFormat="false" ht="15" hidden="false" customHeight="true" outlineLevel="0" collapsed="false">
      <c r="A11" s="15" t="s">
        <v>226</v>
      </c>
      <c r="B11" s="15" t="s">
        <v>217</v>
      </c>
      <c r="C11" s="19" t="n">
        <v>45351</v>
      </c>
      <c r="D11" s="16" t="n">
        <v>3600000</v>
      </c>
      <c r="E11" s="20" t="str">
        <f aca="false">IF(DATEDIF(C11,$B$3,"Y")=0,DATEDIF(C11,$B$3,"M")&amp;" meses",DATEDIF(C11,$B$3,"Y")&amp;" años y "&amp;DATEDIF(C11,$B$3,"YM")&amp;" meses")</f>
        <v>2 años y 4 meses</v>
      </c>
      <c r="F11" s="27" t="n">
        <f aca="false">IF(DATEDIF(C11,$B$3,"Y")&lt;2,0,IF(DATEDIF(C11,$B$3,"Y")&lt;5,0.05,IF(DATEDIF(C11,$B$3,"Y")&lt;10,0.1,0.15)))</f>
        <v>0.05</v>
      </c>
      <c r="G11" s="21" t="n">
        <f aca="false">D11*F11</f>
        <v>180000</v>
      </c>
      <c r="H11" s="28" t="n">
        <f aca="false">IF(DATE(YEAR($B$3),MONTH(C11),MIN(DAY(C11),DAY(DATE(YEAR($B$3),MONTH(C11)+1,0))))&gt;$B$3,DATE(YEAR($B$3),MONTH(C11),MIN(DAY(C11),DAY(DATE(YEAR($B$3),MONTH(C11)+1,0)))),DATE(YEAR($B$3)+1,MONTH(C11),MIN(DAY(C11),DAY(DATE(YEAR($B$3)+1,MONTH(C11)+1,0)))))</f>
        <v>46446</v>
      </c>
    </row>
    <row r="12" customFormat="false" ht="15" hidden="false" customHeight="true" outlineLevel="0" collapsed="false">
      <c r="A12" s="15" t="s">
        <v>227</v>
      </c>
      <c r="B12" s="15" t="s">
        <v>228</v>
      </c>
      <c r="C12" s="19" t="n">
        <v>42552</v>
      </c>
      <c r="D12" s="16" t="n">
        <v>4700000</v>
      </c>
      <c r="E12" s="20" t="str">
        <f aca="false">IF(DATEDIF(C12,$B$3,"Y")=0,DATEDIF(C12,$B$3,"M")&amp;" meses",DATEDIF(C12,$B$3,"Y")&amp;" años y "&amp;DATEDIF(C12,$B$3,"YM")&amp;" meses")</f>
        <v>9 años y 11 meses</v>
      </c>
      <c r="F12" s="27" t="n">
        <f aca="false">IF(DATEDIF(C12,$B$3,"Y")&lt;2,0,IF(DATEDIF(C12,$B$3,"Y")&lt;5,0.05,IF(DATEDIF(C12,$B$3,"Y")&lt;10,0.1,0.15)))</f>
        <v>0.1</v>
      </c>
      <c r="G12" s="21" t="n">
        <f aca="false">D12*F12</f>
        <v>470000</v>
      </c>
      <c r="H12" s="28" t="n">
        <f aca="false">IF(DATE(YEAR($B$3),MONTH(C12),MIN(DAY(C12),DAY(DATE(YEAR($B$3),MONTH(C12)+1,0))))&gt;$B$3,DATE(YEAR($B$3),MONTH(C12),MIN(DAY(C12),DAY(DATE(YEAR($B$3),MONTH(C12)+1,0)))),DATE(YEAR($B$3)+1,MONTH(C12),MIN(DAY(C12),DAY(DATE(YEAR($B$3)+1,MONTH(C12)+1,0)))))</f>
        <v>46204</v>
      </c>
    </row>
    <row r="13" customFormat="false" ht="15" hidden="false" customHeight="true" outlineLevel="0" collapsed="false">
      <c r="A13" s="15" t="s">
        <v>229</v>
      </c>
      <c r="B13" s="15" t="s">
        <v>221</v>
      </c>
      <c r="C13" s="19" t="n">
        <v>45107</v>
      </c>
      <c r="D13" s="16" t="n">
        <v>1950000</v>
      </c>
      <c r="E13" s="20" t="str">
        <f aca="false">IF(DATEDIF(C13,$B$3,"Y")=0,DATEDIF(C13,$B$3,"M")&amp;" meses",DATEDIF(C13,$B$3,"Y")&amp;" años y "&amp;DATEDIF(C13,$B$3,"YM")&amp;" meses")</f>
        <v>3 años y 0 meses</v>
      </c>
      <c r="F13" s="27" t="n">
        <f aca="false">IF(DATEDIF(C13,$B$3,"Y")&lt;2,0,IF(DATEDIF(C13,$B$3,"Y")&lt;5,0.05,IF(DATEDIF(C13,$B$3,"Y")&lt;10,0.1,0.15)))</f>
        <v>0.05</v>
      </c>
      <c r="G13" s="21" t="n">
        <f aca="false">D13*F13</f>
        <v>97500</v>
      </c>
      <c r="H13" s="28" t="n">
        <f aca="false">IF(DATE(YEAR($B$3),MONTH(C13),MIN(DAY(C13),DAY(DATE(YEAR($B$3),MONTH(C13)+1,0))))&gt;$B$3,DATE(YEAR($B$3),MONTH(C13),MIN(DAY(C13),DAY(DATE(YEAR($B$3),MONTH(C13)+1,0)))),DATE(YEAR($B$3)+1,MONTH(C13),MIN(DAY(C13),DAY(DATE(YEAR($B$3)+1,MONTH(C13)+1,0)))))</f>
        <v>46568</v>
      </c>
    </row>
    <row r="14" customFormat="false" ht="15" hidden="false" customHeight="true" outlineLevel="0" collapsed="false">
      <c r="A14" s="15" t="s">
        <v>230</v>
      </c>
      <c r="B14" s="15" t="s">
        <v>231</v>
      </c>
      <c r="C14" s="19" t="n">
        <v>40553</v>
      </c>
      <c r="D14" s="16" t="n">
        <v>7300000</v>
      </c>
      <c r="E14" s="20" t="str">
        <f aca="false">IF(DATEDIF(C14,$B$3,"Y")=0,DATEDIF(C14,$B$3,"M")&amp;" meses",DATEDIF(C14,$B$3,"Y")&amp;" años y "&amp;DATEDIF(C14,$B$3,"YM")&amp;" meses")</f>
        <v>15 años y 5 meses</v>
      </c>
      <c r="F14" s="27" t="n">
        <f aca="false">IF(DATEDIF(C14,$B$3,"Y")&lt;2,0,IF(DATEDIF(C14,$B$3,"Y")&lt;5,0.05,IF(DATEDIF(C14,$B$3,"Y")&lt;10,0.1,0.15)))</f>
        <v>0.15</v>
      </c>
      <c r="G14" s="21" t="n">
        <f aca="false">D14*F14</f>
        <v>1095000</v>
      </c>
      <c r="H14" s="28" t="n">
        <f aca="false">IF(DATE(YEAR($B$3),MONTH(C14),MIN(DAY(C14),DAY(DATE(YEAR($B$3),MONTH(C14)+1,0))))&gt;$B$3,DATE(YEAR($B$3),MONTH(C14),MIN(DAY(C14),DAY(DATE(YEAR($B$3),MONTH(C14)+1,0)))),DATE(YEAR($B$3)+1,MONTH(C14),MIN(DAY(C14),DAY(DATE(YEAR($B$3)+1,MONTH(C14)+1,0)))))</f>
        <v>46397</v>
      </c>
    </row>
    <row r="15" customFormat="false" ht="15" hidden="false" customHeight="true" outlineLevel="0" collapsed="false">
      <c r="A15" s="15" t="s">
        <v>232</v>
      </c>
      <c r="B15" s="15" t="s">
        <v>219</v>
      </c>
      <c r="C15" s="19" t="n">
        <v>44376</v>
      </c>
      <c r="D15" s="16" t="n">
        <v>5900000</v>
      </c>
      <c r="E15" s="20" t="str">
        <f aca="false">IF(DATEDIF(C15,$B$3,"Y")=0,DATEDIF(C15,$B$3,"M")&amp;" meses",DATEDIF(C15,$B$3,"Y")&amp;" años y "&amp;DATEDIF(C15,$B$3,"YM")&amp;" meses")</f>
        <v>5 años y 0 meses</v>
      </c>
      <c r="F15" s="27" t="n">
        <f aca="false">IF(DATEDIF(C15,$B$3,"Y")&lt;2,0,IF(DATEDIF(C15,$B$3,"Y")&lt;5,0.05,IF(DATEDIF(C15,$B$3,"Y")&lt;10,0.1,0.15)))</f>
        <v>0.1</v>
      </c>
      <c r="G15" s="21" t="n">
        <f aca="false">D15*F15</f>
        <v>590000</v>
      </c>
      <c r="H15" s="28" t="n">
        <f aca="false">IF(DATE(YEAR($B$3),MONTH(C15),MIN(DAY(C15),DAY(DATE(YEAR($B$3),MONTH(C15)+1,0))))&gt;$B$3,DATE(YEAR($B$3),MONTH(C15),MIN(DAY(C15),DAY(DATE(YEAR($B$3),MONTH(C15)+1,0)))),DATE(YEAR($B$3)+1,MONTH(C15),MIN(DAY(C15),DAY(DATE(YEAR($B$3)+1,MONTH(C15)+1,0)))))</f>
        <v>46567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2" min="1" style="1" width="26"/>
    <col collapsed="false" customWidth="true" hidden="false" outlineLevel="0" max="3" min="3" style="1" width="20"/>
    <col collapsed="false" customWidth="true" hidden="false" outlineLevel="0" max="4" min="4" style="1" width="24"/>
    <col collapsed="false" customWidth="true" hidden="false" outlineLevel="0" max="5" min="5" style="1" width="15"/>
    <col collapsed="false" customWidth="true" hidden="false" outlineLevel="0" max="6" min="6" style="1" width="16"/>
    <col collapsed="false" customWidth="true" hidden="false" outlineLevel="0" max="8" min="7" style="1" width="18"/>
    <col collapsed="false" customWidth="true" hidden="false" outlineLevel="0" max="9" min="9" style="1" width="11"/>
  </cols>
  <sheetData>
    <row r="1" customFormat="false" ht="18" hidden="false" customHeight="true" outlineLevel="0" collapsed="false">
      <c r="A1" s="2" t="s">
        <v>233</v>
      </c>
      <c r="B1" s="3"/>
      <c r="C1" s="3"/>
      <c r="D1" s="3"/>
      <c r="E1" s="3"/>
      <c r="F1" s="3"/>
      <c r="G1" s="3"/>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3"/>
      <c r="B3" s="3"/>
      <c r="C3" s="3"/>
      <c r="D3" s="3"/>
      <c r="E3" s="3"/>
      <c r="F3" s="3"/>
      <c r="G3" s="3"/>
      <c r="H3" s="3"/>
      <c r="I3" s="3"/>
    </row>
    <row r="4" customFormat="false" ht="30" hidden="false" customHeight="true" outlineLevel="0" collapsed="false">
      <c r="A4" s="8" t="s">
        <v>234</v>
      </c>
      <c r="B4" s="8" t="s">
        <v>235</v>
      </c>
      <c r="C4" s="8" t="s">
        <v>236</v>
      </c>
      <c r="D4" s="18" t="s">
        <v>237</v>
      </c>
      <c r="E4" s="18" t="s">
        <v>238</v>
      </c>
      <c r="F4" s="18" t="s">
        <v>239</v>
      </c>
      <c r="G4" s="18" t="s">
        <v>240</v>
      </c>
      <c r="H4" s="18" t="s">
        <v>241</v>
      </c>
      <c r="I4" s="18" t="s">
        <v>242</v>
      </c>
    </row>
    <row r="5" customFormat="false" ht="15" hidden="false" customHeight="true" outlineLevel="0" collapsed="false">
      <c r="A5" s="15" t="s">
        <v>243</v>
      </c>
      <c r="B5" s="15" t="s">
        <v>244</v>
      </c>
      <c r="C5" s="15" t="s">
        <v>245</v>
      </c>
      <c r="D5" s="20" t="str">
        <f aca="false">PROPER(TRIM(A5))</f>
        <v>Juan Pérez Gómez</v>
      </c>
      <c r="E5" s="20" t="str">
        <f aca="false">IFERROR(MID(D5,FIND(" ",D5)+1,IFERROR(FIND(" ",D5,FIND(" ",D5)+1)-FIND(" ",D5)-1,LEN(D5))),"")</f>
        <v>Pérez</v>
      </c>
      <c r="F5" s="20" t="str">
        <f aca="false">LEFT(B5,FIND("@",B5)-1)</f>
        <v>juan.perez</v>
      </c>
      <c r="G5" s="20" t="str">
        <f aca="false">LOWER(RIGHT(B5,LEN(B5)-FIND("@",B5)))</f>
        <v>gmail.com</v>
      </c>
      <c r="H5" s="20" t="str">
        <f aca="false">RIGHT(SUBSTITUTE(SUBSTITUTE(SUBSTITUTE(SUBSTITUTE(SUBSTITUTE(SUBSTITUTE(SUBSTITUTE(C5," ",""),"-",""),"(",""),")",""),"+57",""),".",""),"+",""),10)</f>
        <v>3001234567</v>
      </c>
      <c r="I5" s="20" t="str">
        <f aca="false">IF(SUMPRODUCT(--(UPPER($B$5:$B$16)=UPPER(B5)))&gt;1,"SÍ","NO")</f>
        <v>NO</v>
      </c>
    </row>
    <row r="6" customFormat="false" ht="15" hidden="false" customHeight="true" outlineLevel="0" collapsed="false">
      <c r="A6" s="15" t="s">
        <v>246</v>
      </c>
      <c r="B6" s="15" t="s">
        <v>247</v>
      </c>
      <c r="C6" s="15" t="s">
        <v>248</v>
      </c>
      <c r="D6" s="20" t="str">
        <f aca="false">PROPER(TRIM(A6))</f>
        <v>María Fernanda López</v>
      </c>
      <c r="E6" s="20" t="str">
        <f aca="false">IFERROR(MID(D6,FIND(" ",D6)+1,IFERROR(FIND(" ",D6,FIND(" ",D6)+1)-FIND(" ",D6)-1,LEN(D6))),"")</f>
        <v>Fernanda</v>
      </c>
      <c r="F6" s="20" t="str">
        <f aca="false">LEFT(B6,FIND("@",B6)-1)</f>
        <v>mfl88</v>
      </c>
      <c r="G6" s="20" t="str">
        <f aca="false">LOWER(RIGHT(B6,LEN(B6)-FIND("@",B6)))</f>
        <v>hotmail.com</v>
      </c>
      <c r="H6" s="20" t="str">
        <f aca="false">RIGHT(SUBSTITUTE(SUBSTITUTE(SUBSTITUTE(SUBSTITUTE(SUBSTITUTE(SUBSTITUTE(SUBSTITUTE(C6," ",""),"-",""),"(",""),")",""),"+57",""),".",""),"+",""),10)</f>
        <v>3105557788</v>
      </c>
      <c r="I6" s="20" t="str">
        <f aca="false">IF(SUMPRODUCT(--(UPPER($B$5:$B$16)=UPPER(B6)))&gt;1,"SÍ","NO")</f>
        <v>NO</v>
      </c>
    </row>
    <row r="7" customFormat="false" ht="15" hidden="false" customHeight="true" outlineLevel="0" collapsed="false">
      <c r="A7" s="15" t="s">
        <v>249</v>
      </c>
      <c r="B7" s="15" t="s">
        <v>250</v>
      </c>
      <c r="C7" s="15" t="s">
        <v>251</v>
      </c>
      <c r="D7" s="20" t="str">
        <f aca="false">PROPER(TRIM(A7))</f>
        <v>Carlos Andrés Ruiz</v>
      </c>
      <c r="E7" s="20" t="str">
        <f aca="false">IFERROR(MID(D7,FIND(" ",D7)+1,IFERROR(FIND(" ",D7,FIND(" ",D7)+1)-FIND(" ",D7)-1,LEN(D7))),"")</f>
        <v>Andrés</v>
      </c>
      <c r="F7" s="20" t="str">
        <f aca="false">LEFT(B7,FIND("@",B7)-1)</f>
        <v>carlos.ruiz</v>
      </c>
      <c r="G7" s="20" t="str">
        <f aca="false">LOWER(RIGHT(B7,LEN(B7)-FIND("@",B7)))</f>
        <v>empresa.co</v>
      </c>
      <c r="H7" s="20" t="str">
        <f aca="false">RIGHT(SUBSTITUTE(SUBSTITUTE(SUBSTITUTE(SUBSTITUTE(SUBSTITUTE(SUBSTITUTE(SUBSTITUTE(C7," ",""),"-",""),"(",""),")",""),"+57",""),".",""),"+",""),10)</f>
        <v>3152223344</v>
      </c>
      <c r="I7" s="20" t="str">
        <f aca="false">IF(SUMPRODUCT(--(UPPER($B$5:$B$16)=UPPER(B7)))&gt;1,"SÍ","NO")</f>
        <v>NO</v>
      </c>
    </row>
    <row r="8" customFormat="false" ht="15" hidden="false" customHeight="true" outlineLevel="0" collapsed="false">
      <c r="A8" s="15" t="s">
        <v>252</v>
      </c>
      <c r="B8" s="15" t="s">
        <v>253</v>
      </c>
      <c r="C8" s="15" t="s">
        <v>254</v>
      </c>
      <c r="D8" s="20" t="str">
        <f aca="false">PROPER(TRIM(A8))</f>
        <v>Ana Sofía Vélez</v>
      </c>
      <c r="E8" s="20" t="str">
        <f aca="false">IFERROR(MID(D8,FIND(" ",D8)+1,IFERROR(FIND(" ",D8,FIND(" ",D8)+1)-FIND(" ",D8)-1,LEN(D8))),"")</f>
        <v>Sofía</v>
      </c>
      <c r="F8" s="20" t="str">
        <f aca="false">LEFT(B8,FIND("@",B8)-1)</f>
        <v>ANA.VELEZ</v>
      </c>
      <c r="G8" s="20" t="str">
        <f aca="false">LOWER(RIGHT(B8,LEN(B8)-FIND("@",B8)))</f>
        <v>outlook.com</v>
      </c>
      <c r="H8" s="20" t="str">
        <f aca="false">RIGHT(SUBSTITUTE(SUBSTITUTE(SUBSTITUTE(SUBSTITUTE(SUBSTITUTE(SUBSTITUTE(SUBSTITUTE(C8," ",""),"-",""),"(",""),")",""),"+57",""),".",""),"+",""),10)</f>
        <v>3204445566</v>
      </c>
      <c r="I8" s="20" t="str">
        <f aca="false">IF(SUMPRODUCT(--(UPPER($B$5:$B$16)=UPPER(B8)))&gt;1,"SÍ","NO")</f>
        <v>NO</v>
      </c>
    </row>
    <row r="9" customFormat="false" ht="15" hidden="false" customHeight="true" outlineLevel="0" collapsed="false">
      <c r="A9" s="15" t="s">
        <v>255</v>
      </c>
      <c r="B9" s="15" t="s">
        <v>256</v>
      </c>
      <c r="C9" s="15" t="s">
        <v>257</v>
      </c>
      <c r="D9" s="20" t="str">
        <f aca="false">PROPER(TRIM(A9))</f>
        <v>Pedro Ramírez</v>
      </c>
      <c r="E9" s="20" t="str">
        <f aca="false">IFERROR(MID(D9,FIND(" ",D9)+1,IFERROR(FIND(" ",D9,FIND(" ",D9)+1)-FIND(" ",D9)-1,LEN(D9))),"")</f>
        <v>Ramírez</v>
      </c>
      <c r="F9" s="20" t="str">
        <f aca="false">LEFT(B9,FIND("@",B9)-1)</f>
        <v>pramirez</v>
      </c>
      <c r="G9" s="20" t="str">
        <f aca="false">LOWER(RIGHT(B9,LEN(B9)-FIND("@",B9)))</f>
        <v>yahoo.es</v>
      </c>
      <c r="H9" s="20" t="str">
        <f aca="false">RIGHT(SUBSTITUTE(SUBSTITUTE(SUBSTITUTE(SUBSTITUTE(SUBSTITUTE(SUBSTITUTE(SUBSTITUTE(C9," ",""),"-",""),"(",""),")",""),"+57",""),".",""),"+",""),10)</f>
        <v>3019990000</v>
      </c>
      <c r="I9" s="20" t="str">
        <f aca="false">IF(SUMPRODUCT(--(UPPER($B$5:$B$16)=UPPER(B9)))&gt;1,"SÍ","NO")</f>
        <v>NO</v>
      </c>
    </row>
    <row r="10" customFormat="false" ht="15" hidden="false" customHeight="true" outlineLevel="0" collapsed="false">
      <c r="A10" s="15" t="s">
        <v>258</v>
      </c>
      <c r="B10" s="15" t="s">
        <v>259</v>
      </c>
      <c r="C10" s="15" t="s">
        <v>260</v>
      </c>
      <c r="D10" s="20" t="str">
        <f aca="false">PROPER(TRIM(A10))</f>
        <v>Juan Pérez Gómez</v>
      </c>
      <c r="E10" s="20" t="str">
        <f aca="false">IFERROR(MID(D10,FIND(" ",D10)+1,IFERROR(FIND(" ",D10,FIND(" ",D10)+1)-FIND(" ",D10)-1,LEN(D10))),"")</f>
        <v>Pérez</v>
      </c>
      <c r="F10" s="20" t="str">
        <f aca="false">LEFT(B10,FIND("@",B10)-1)</f>
        <v>  JUAN.PEREZ</v>
      </c>
      <c r="G10" s="20" t="str">
        <f aca="false">LOWER(RIGHT(B10,LEN(B10)-FIND("@",B10)))</f>
        <v>gmail.com</v>
      </c>
      <c r="H10" s="20" t="str">
        <f aca="false">RIGHT(SUBSTITUTE(SUBSTITUTE(SUBSTITUTE(SUBSTITUTE(SUBSTITUTE(SUBSTITUTE(SUBSTITUTE(C10," ",""),"-",""),"(",""),")",""),"+57",""),".",""),"+",""),10)</f>
        <v>3001234567</v>
      </c>
      <c r="I10" s="20" t="str">
        <f aca="false">IF(SUMPRODUCT(--(UPPER($B$5:$B$16)=UPPER(B10)))&gt;1,"SÍ","NO")</f>
        <v>NO</v>
      </c>
    </row>
    <row r="11" customFormat="false" ht="15" hidden="false" customHeight="true" outlineLevel="0" collapsed="false">
      <c r="A11" s="15" t="s">
        <v>261</v>
      </c>
      <c r="B11" s="15" t="s">
        <v>262</v>
      </c>
      <c r="C11" s="15" t="s">
        <v>263</v>
      </c>
      <c r="D11" s="20" t="str">
        <f aca="false">PROPER(TRIM(A11))</f>
        <v>Lucía Martínez Ortiz</v>
      </c>
      <c r="E11" s="20" t="str">
        <f aca="false">IFERROR(MID(D11,FIND(" ",D11)+1,IFERROR(FIND(" ",D11,FIND(" ",D11)+1)-FIND(" ",D11)-1,LEN(D11))),"")</f>
        <v>Martínez</v>
      </c>
      <c r="F11" s="20" t="str">
        <f aca="false">LEFT(B11,FIND("@",B11)-1)</f>
        <v>lucia_mo</v>
      </c>
      <c r="G11" s="20" t="str">
        <f aca="false">LOWER(RIGHT(B11,LEN(B11)-FIND("@",B11)))</f>
        <v>gmail.com</v>
      </c>
      <c r="H11" s="20" t="str">
        <f aca="false">RIGHT(SUBSTITUTE(SUBSTITUTE(SUBSTITUTE(SUBSTITUTE(SUBSTITUTE(SUBSTITUTE(SUBSTITUTE(C11," ",""),"-",""),"(",""),")",""),"+57",""),".",""),"+",""),10)</f>
        <v>3118887766</v>
      </c>
      <c r="I11" s="20" t="str">
        <f aca="false">IF(SUMPRODUCT(--(UPPER($B$5:$B$16)=UPPER(B11)))&gt;1,"SÍ","NO")</f>
        <v>NO</v>
      </c>
    </row>
    <row r="12" customFormat="false" ht="15" hidden="false" customHeight="true" outlineLevel="0" collapsed="false">
      <c r="A12" s="15" t="s">
        <v>264</v>
      </c>
      <c r="B12" s="15" t="s">
        <v>265</v>
      </c>
      <c r="C12" s="15" t="s">
        <v>266</v>
      </c>
      <c r="D12" s="20" t="str">
        <f aca="false">PROPER(TRIM(A12))</f>
        <v>Jorge Eliécer Gaitán</v>
      </c>
      <c r="E12" s="20" t="str">
        <f aca="false">IFERROR(MID(D12,FIND(" ",D12)+1,IFERROR(FIND(" ",D12,FIND(" ",D12)+1)-FIND(" ",D12)-1,LEN(D12))),"")</f>
        <v>Eliécer</v>
      </c>
      <c r="F12" s="20" t="str">
        <f aca="false">LEFT(B12,FIND("@",B12)-1)</f>
        <v>jegaitan</v>
      </c>
      <c r="G12" s="20" t="str">
        <f aca="false">LOWER(RIGHT(B12,LEN(B12)-FIND("@",B12)))</f>
        <v>empresa.co</v>
      </c>
      <c r="H12" s="20" t="str">
        <f aca="false">RIGHT(SUBSTITUTE(SUBSTITUTE(SUBSTITUTE(SUBSTITUTE(SUBSTITUTE(SUBSTITUTE(SUBSTITUTE(C12," ",""),"-",""),"(",""),")",""),"+57",""),".",""),"+",""),10)</f>
        <v>3120001122</v>
      </c>
      <c r="I12" s="20" t="str">
        <f aca="false">IF(SUMPRODUCT(--(UPPER($B$5:$B$16)=UPPER(B12)))&gt;1,"SÍ","NO")</f>
        <v>NO</v>
      </c>
    </row>
    <row r="13" customFormat="false" ht="15" hidden="false" customHeight="true" outlineLevel="0" collapsed="false">
      <c r="A13" s="15" t="s">
        <v>267</v>
      </c>
      <c r="B13" s="15" t="s">
        <v>268</v>
      </c>
      <c r="C13" s="15" t="s">
        <v>269</v>
      </c>
      <c r="D13" s="20" t="str">
        <f aca="false">PROPER(TRIM(A13))</f>
        <v>Valeria Cano</v>
      </c>
      <c r="E13" s="20" t="str">
        <f aca="false">IFERROR(MID(D13,FIND(" ",D13)+1,IFERROR(FIND(" ",D13,FIND(" ",D13)+1)-FIND(" ",D13)-1,LEN(D13))),"")</f>
        <v>Cano</v>
      </c>
      <c r="F13" s="20" t="str">
        <f aca="false">LEFT(B13,FIND("@",B13)-1)</f>
        <v>vcano</v>
      </c>
      <c r="G13" s="20" t="str">
        <f aca="false">LOWER(RIGHT(B13,LEN(B13)-FIND("@",B13)))</f>
        <v>hotmail.com</v>
      </c>
      <c r="H13" s="20" t="str">
        <f aca="false">RIGHT(SUBSTITUTE(SUBSTITUTE(SUBSTITUTE(SUBSTITUTE(SUBSTITUTE(SUBSTITUTE(SUBSTITUTE(C13," ",""),"-",""),"(",""),")",""),"+57",""),".",""),"+",""),10)</f>
        <v>3167778899</v>
      </c>
      <c r="I13" s="20" t="str">
        <f aca="false">IF(SUMPRODUCT(--(UPPER($B$5:$B$16)=UPPER(B13)))&gt;1,"SÍ","NO")</f>
        <v>NO</v>
      </c>
    </row>
    <row r="14" customFormat="false" ht="15" hidden="false" customHeight="true" outlineLevel="0" collapsed="false">
      <c r="A14" s="15" t="s">
        <v>270</v>
      </c>
      <c r="B14" s="15" t="s">
        <v>271</v>
      </c>
      <c r="C14" s="15" t="s">
        <v>272</v>
      </c>
      <c r="D14" s="20" t="str">
        <f aca="false">PROPER(TRIM(A14))</f>
        <v>Ana Sofía Vélez</v>
      </c>
      <c r="E14" s="20" t="str">
        <f aca="false">IFERROR(MID(D14,FIND(" ",D14)+1,IFERROR(FIND(" ",D14,FIND(" ",D14)+1)-FIND(" ",D14)-1,LEN(D14))),"")</f>
        <v>Sofía</v>
      </c>
      <c r="F14" s="20" t="str">
        <f aca="false">LEFT(B14,FIND("@",B14)-1)</f>
        <v>ana.velez</v>
      </c>
      <c r="G14" s="20" t="str">
        <f aca="false">LOWER(RIGHT(B14,LEN(B14)-FIND("@",B14)))</f>
        <v>outlook.com </v>
      </c>
      <c r="H14" s="20" t="str">
        <f aca="false">RIGHT(SUBSTITUTE(SUBSTITUTE(SUBSTITUTE(SUBSTITUTE(SUBSTITUTE(SUBSTITUTE(SUBSTITUTE(C14," ",""),"-",""),"(",""),")",""),"+57",""),".",""),"+",""),10)</f>
        <v>3204445566</v>
      </c>
      <c r="I14" s="20" t="str">
        <f aca="false">IF(SUMPRODUCT(--(UPPER($B$5:$B$16)=UPPER(B14)))&gt;1,"SÍ","NO")</f>
        <v>NO</v>
      </c>
    </row>
    <row r="15" customFormat="false" ht="15" hidden="false" customHeight="true" outlineLevel="0" collapsed="false">
      <c r="A15" s="15" t="s">
        <v>273</v>
      </c>
      <c r="B15" s="15" t="s">
        <v>274</v>
      </c>
      <c r="C15" s="15" t="s">
        <v>275</v>
      </c>
      <c r="D15" s="20" t="str">
        <f aca="false">PROPER(TRIM(A15))</f>
        <v>Diego Alejandro Mesa</v>
      </c>
      <c r="E15" s="20" t="str">
        <f aca="false">IFERROR(MID(D15,FIND(" ",D15)+1,IFERROR(FIND(" ",D15,FIND(" ",D15)+1)-FIND(" ",D15)-1,LEN(D15))),"")</f>
        <v>Alejandro</v>
      </c>
      <c r="F15" s="20" t="str">
        <f aca="false">LEFT(B15,FIND("@",B15)-1)</f>
        <v>dmesa</v>
      </c>
      <c r="G15" s="20" t="str">
        <f aca="false">LOWER(RIGHT(B15,LEN(B15)-FIND("@",B15)))</f>
        <v>unal.edu.co</v>
      </c>
      <c r="H15" s="20" t="str">
        <f aca="false">RIGHT(SUBSTITUTE(SUBSTITUTE(SUBSTITUTE(SUBSTITUTE(SUBSTITUTE(SUBSTITUTE(SUBSTITUTE(C15," ",""),"-",""),"(",""),")",""),"+57",""),".",""),"+",""),10)</f>
        <v>3175550011</v>
      </c>
      <c r="I15" s="20" t="str">
        <f aca="false">IF(SUMPRODUCT(--(UPPER($B$5:$B$16)=UPPER(B15)))&gt;1,"SÍ","NO")</f>
        <v>NO</v>
      </c>
    </row>
    <row r="16" customFormat="false" ht="15" hidden="false" customHeight="true" outlineLevel="0" collapsed="false">
      <c r="A16" s="15" t="s">
        <v>276</v>
      </c>
      <c r="B16" s="15" t="s">
        <v>277</v>
      </c>
      <c r="C16" s="15" t="s">
        <v>278</v>
      </c>
      <c r="D16" s="20" t="str">
        <f aca="false">PROPER(TRIM(A16))</f>
        <v>Paula Andrea Quintero</v>
      </c>
      <c r="E16" s="20" t="str">
        <f aca="false">IFERROR(MID(D16,FIND(" ",D16)+1,IFERROR(FIND(" ",D16,FIND(" ",D16)+1)-FIND(" ",D16)-1,LEN(D16))),"")</f>
        <v>Andrea</v>
      </c>
      <c r="F16" s="20" t="str">
        <f aca="false">LEFT(B16,FIND("@",B16)-1)</f>
        <v>pquintero</v>
      </c>
      <c r="G16" s="20" t="str">
        <f aca="false">LOWER(RIGHT(B16,LEN(B16)-FIND("@",B16)))</f>
        <v>gmail.com</v>
      </c>
      <c r="H16" s="20" t="str">
        <f aca="false">RIGHT(SUBSTITUTE(SUBSTITUTE(SUBSTITUTE(SUBSTITUTE(SUBSTITUTE(SUBSTITUTE(SUBSTITUTE(C16," ",""),"-",""),"(",""),")",""),"+57",""),".",""),"+",""),10)</f>
        <v>3007654321</v>
      </c>
      <c r="I16" s="20" t="str">
        <f aca="false">IF(SUMPRODUCT(--(UPPER($B$5:$B$16)=UPPER(B16)))&gt;1,"SÍ","NO")</f>
        <v>NO</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6"/>
    <col collapsed="false" customWidth="true" hidden="false" outlineLevel="0" max="6" min="6" style="1" width="8"/>
    <col collapsed="false" customWidth="true" hidden="false" outlineLevel="0" max="7" min="7" style="1" width="22"/>
    <col collapsed="false" customWidth="true" hidden="false" outlineLevel="0" max="8" min="8" style="1" width="11"/>
  </cols>
  <sheetData>
    <row r="1" customFormat="false" ht="18" hidden="false" customHeight="true" outlineLevel="0" collapsed="false">
      <c r="A1" s="2" t="s">
        <v>279</v>
      </c>
      <c r="B1" s="3"/>
      <c r="C1" s="3"/>
      <c r="D1" s="3"/>
      <c r="E1" s="3"/>
      <c r="F1" s="3"/>
      <c r="G1" s="3"/>
      <c r="H1" s="3"/>
    </row>
    <row r="2" customFormat="false" ht="15" hidden="false" customHeight="true" outlineLevel="0" collapsed="false">
      <c r="A2" s="3"/>
      <c r="B2" s="3"/>
      <c r="C2" s="3"/>
      <c r="D2" s="3"/>
      <c r="E2" s="3"/>
      <c r="F2" s="3"/>
      <c r="G2" s="3"/>
      <c r="H2" s="3"/>
    </row>
    <row r="3" customFormat="false" ht="15" hidden="false" customHeight="true" outlineLevel="0" collapsed="false">
      <c r="A3" s="3"/>
      <c r="B3" s="3"/>
      <c r="C3" s="3"/>
      <c r="D3" s="3"/>
      <c r="E3" s="3"/>
      <c r="F3" s="3"/>
      <c r="G3" s="3"/>
      <c r="H3" s="3"/>
    </row>
    <row r="4" customFormat="false" ht="30" hidden="false" customHeight="true" outlineLevel="0" collapsed="false">
      <c r="A4" s="8" t="s">
        <v>280</v>
      </c>
      <c r="B4" s="8" t="s">
        <v>98</v>
      </c>
      <c r="C4" s="8" t="s">
        <v>281</v>
      </c>
      <c r="D4" s="3"/>
      <c r="E4" s="3"/>
      <c r="F4" s="8" t="s">
        <v>280</v>
      </c>
      <c r="G4" s="8" t="s">
        <v>57</v>
      </c>
      <c r="H4" s="8" t="s">
        <v>282</v>
      </c>
    </row>
    <row r="5" customFormat="false" ht="15" hidden="false" customHeight="true" outlineLevel="0" collapsed="false">
      <c r="A5" s="23" t="n">
        <v>1</v>
      </c>
      <c r="B5" s="20" t="str">
        <f aca="false">INDEX(Ventas!$C$5:$C$84,MATCH(LARGE(SUMIF(Ventas!$C$5:$C$84,Ventas!$C$5:$C$84,Ventas!$I$5:$I$84),1),SUMIF(Ventas!$C$5:$C$84,Ventas!$C$5:$C$84,Ventas!$I$5:$I$84),0))</f>
        <v>Andrés Ruiz</v>
      </c>
      <c r="C5" s="21" t="n">
        <f aca="false">SUMIF(Ventas!$C$5:$C$84,B5,Ventas!$I$5:$I$84)</f>
        <v>29432360</v>
      </c>
      <c r="D5" s="3"/>
      <c r="E5" s="3"/>
      <c r="F5" s="23" t="str">
        <f aca="false">INDEX(Ventas!$G$5:$G$84,MATCH(LARGE(SUMIF(Ventas!$G$5:$G$84,Ventas!$G$5:$G$84,Ventas!$F$5:$F$84),1),SUMIF(Ventas!$G$5:$G$84,Ventas!$G$5:$G$84,Ventas!$F$5:$F$84),0))</f>
        <v>Diadema USB</v>
      </c>
      <c r="G5" s="20" t="n">
        <f aca="false">SUMIF(Ventas!$G$5:$G$84,F5,Ventas!$F$5:$F$84)</f>
        <v>35</v>
      </c>
      <c r="H5" s="20"/>
    </row>
    <row r="6" customFormat="false" ht="15" hidden="false" customHeight="true" outlineLevel="0" collapsed="false">
      <c r="A6" s="23" t="n">
        <v>2</v>
      </c>
      <c r="B6" s="20" t="e">
        <f aca="false">INDEX(Ventas!$C$5:$C$84,MATCH(LARGE(SUMIF(Ventas!$C$5:$C$84,Ventas!$C$5:$C$84,Ventas!$I$5:$I$84),2),SUMIF(Ventas!$C$5:$C$84,Ventas!$C$5:$C$84,Ventas!$I$5:$I$84),0))</f>
        <v>#VALUE!</v>
      </c>
      <c r="C6" s="21" t="e">
        <f aca="false">SUMIF(Ventas!$C$5:$C$84,B6,Ventas!$I$5:$I$84)</f>
        <v>#VALUE!</v>
      </c>
      <c r="D6" s="3"/>
      <c r="E6" s="3"/>
      <c r="F6" s="23" t="e">
        <f aca="false">INDEX(Ventas!$G$5:$G$84,MATCH(LARGE(SUMIF(Ventas!$G$5:$G$84,Ventas!$G$5:$G$84,Ventas!$F$5:$F$84),2),SUMIF(Ventas!$G$5:$G$84,Ventas!$G$5:$G$84,Ventas!$F$5:$F$84),0))</f>
        <v>#VALUE!</v>
      </c>
      <c r="G6" s="20" t="e">
        <f aca="false">SUMIF(Ventas!$G$5:$G$84,F6,Ventas!$F$5:$F$84)</f>
        <v>#VALUE!</v>
      </c>
      <c r="H6" s="20"/>
    </row>
    <row r="7" customFormat="false" ht="15" hidden="false" customHeight="true" outlineLevel="0" collapsed="false">
      <c r="A7" s="23" t="n">
        <v>3</v>
      </c>
      <c r="B7" s="20" t="e">
        <f aca="false">INDEX(Ventas!$C$5:$C$84,MATCH(LARGE(SUMIF(Ventas!$C$5:$C$84,Ventas!$C$5:$C$84,Ventas!$I$5:$I$84),3),SUMIF(Ventas!$C$5:$C$84,Ventas!$C$5:$C$84,Ventas!$I$5:$I$84),0))</f>
        <v>#VALUE!</v>
      </c>
      <c r="C7" s="21" t="e">
        <f aca="false">SUMIF(Ventas!$C$5:$C$84,B7,Ventas!$I$5:$I$84)</f>
        <v>#VALUE!</v>
      </c>
      <c r="D7" s="3"/>
      <c r="E7" s="3"/>
      <c r="F7" s="23" t="e">
        <f aca="false">INDEX(Ventas!$G$5:$G$84,MATCH(LARGE(SUMIF(Ventas!$G$5:$G$84,Ventas!$G$5:$G$84,Ventas!$F$5:$F$84),3),SUMIF(Ventas!$G$5:$G$84,Ventas!$G$5:$G$84,Ventas!$F$5:$F$84),0))</f>
        <v>#VALUE!</v>
      </c>
      <c r="G7" s="20" t="e">
        <f aca="false">SUMIF(Ventas!$G$5:$G$84,F7,Ventas!$F$5:$F$84)</f>
        <v>#VALUE!</v>
      </c>
      <c r="H7"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3"/>
    <col collapsed="false" customWidth="true" hidden="false" outlineLevel="0" max="2" min="2" style="1" width="28"/>
  </cols>
  <sheetData>
    <row r="1" customFormat="false" ht="18" hidden="false" customHeight="true" outlineLevel="0" collapsed="false">
      <c r="A1" s="2" t="s">
        <v>283</v>
      </c>
      <c r="B1" s="3"/>
    </row>
    <row r="2" customFormat="false" ht="15" hidden="false" customHeight="true" outlineLevel="0" collapsed="false">
      <c r="A2" s="4" t="s">
        <v>284</v>
      </c>
      <c r="B2" s="3"/>
    </row>
    <row r="3" customFormat="false" ht="15" hidden="false" customHeight="true" outlineLevel="0" collapsed="false">
      <c r="A3" s="3"/>
      <c r="B3" s="3"/>
    </row>
    <row r="4" customFormat="false" ht="15" hidden="false" customHeight="true" outlineLevel="0" collapsed="false">
      <c r="A4" s="8" t="s">
        <v>97</v>
      </c>
      <c r="B4" s="8" t="s">
        <v>285</v>
      </c>
    </row>
    <row r="5" customFormat="false" ht="15" hidden="false" customHeight="true" outlineLevel="0" collapsed="false">
      <c r="A5" s="19" t="n">
        <v>46023</v>
      </c>
      <c r="B5" s="15" t="s">
        <v>286</v>
      </c>
    </row>
    <row r="6" customFormat="false" ht="15" hidden="false" customHeight="true" outlineLevel="0" collapsed="false">
      <c r="A6" s="19" t="n">
        <v>46034</v>
      </c>
      <c r="B6" s="15" t="s">
        <v>287</v>
      </c>
    </row>
    <row r="7" customFormat="false" ht="15" hidden="false" customHeight="true" outlineLevel="0" collapsed="false">
      <c r="A7" s="19" t="n">
        <v>46104</v>
      </c>
      <c r="B7" s="15" t="s">
        <v>288</v>
      </c>
    </row>
    <row r="8" customFormat="false" ht="15" hidden="false" customHeight="true" outlineLevel="0" collapsed="false">
      <c r="A8" s="19" t="n">
        <v>46114</v>
      </c>
      <c r="B8" s="15" t="s">
        <v>289</v>
      </c>
    </row>
    <row r="9" customFormat="false" ht="15" hidden="false" customHeight="true" outlineLevel="0" collapsed="false">
      <c r="A9" s="19" t="n">
        <v>46115</v>
      </c>
      <c r="B9" s="15" t="s">
        <v>290</v>
      </c>
    </row>
    <row r="10" customFormat="false" ht="15" hidden="false" customHeight="true" outlineLevel="0" collapsed="false">
      <c r="A10" s="19" t="n">
        <v>46143</v>
      </c>
      <c r="B10" s="15" t="s">
        <v>291</v>
      </c>
    </row>
    <row r="11" customFormat="false" ht="15" hidden="false" customHeight="true" outlineLevel="0" collapsed="false">
      <c r="A11" s="19" t="n">
        <v>46160</v>
      </c>
      <c r="B11" s="15" t="s">
        <v>292</v>
      </c>
    </row>
    <row r="12" customFormat="false" ht="15" hidden="false" customHeight="true" outlineLevel="0" collapsed="false">
      <c r="A12" s="19" t="n">
        <v>46181</v>
      </c>
      <c r="B12" s="15" t="s">
        <v>293</v>
      </c>
    </row>
    <row r="13" customFormat="false" ht="15" hidden="false" customHeight="true" outlineLevel="0" collapsed="false">
      <c r="A13" s="19" t="n">
        <v>46188</v>
      </c>
      <c r="B13" s="15" t="s">
        <v>294</v>
      </c>
    </row>
    <row r="14" customFormat="false" ht="15" hidden="false" customHeight="true" outlineLevel="0" collapsed="false">
      <c r="A14" s="19" t="n">
        <v>46202</v>
      </c>
      <c r="B14" s="15" t="s">
        <v>295</v>
      </c>
    </row>
    <row r="15" customFormat="false" ht="15" hidden="false" customHeight="true" outlineLevel="0" collapsed="false">
      <c r="A15" s="19" t="n">
        <v>46223</v>
      </c>
      <c r="B15" s="15" t="s">
        <v>296</v>
      </c>
    </row>
    <row r="16" customFormat="false" ht="15" hidden="false" customHeight="true" outlineLevel="0" collapsed="false">
      <c r="A16" s="19" t="n">
        <v>46241</v>
      </c>
      <c r="B16" s="15" t="s">
        <v>297</v>
      </c>
    </row>
    <row r="17" customFormat="false" ht="15" hidden="false" customHeight="true" outlineLevel="0" collapsed="false">
      <c r="A17" s="19" t="n">
        <v>46251</v>
      </c>
      <c r="B17" s="15" t="s">
        <v>298</v>
      </c>
    </row>
    <row r="18" customFormat="false" ht="15" hidden="false" customHeight="true" outlineLevel="0" collapsed="false">
      <c r="A18" s="19" t="n">
        <v>46307</v>
      </c>
      <c r="B18" s="15" t="s">
        <v>299</v>
      </c>
    </row>
    <row r="19" customFormat="false" ht="15" hidden="false" customHeight="true" outlineLevel="0" collapsed="false">
      <c r="A19" s="19" t="n">
        <v>46328</v>
      </c>
      <c r="B19" s="15" t="s">
        <v>300</v>
      </c>
    </row>
    <row r="20" customFormat="false" ht="15" hidden="false" customHeight="true" outlineLevel="0" collapsed="false">
      <c r="A20" s="19" t="n">
        <v>46342</v>
      </c>
      <c r="B20" s="15" t="s">
        <v>301</v>
      </c>
    </row>
    <row r="21" customFormat="false" ht="15" hidden="false" customHeight="true" outlineLevel="0" collapsed="false">
      <c r="A21" s="19" t="n">
        <v>46364</v>
      </c>
      <c r="B21" s="15" t="s">
        <v>302</v>
      </c>
    </row>
    <row r="22" customFormat="false" ht="15" hidden="false" customHeight="true" outlineLevel="0" collapsed="false">
      <c r="A22" s="19" t="n">
        <v>46381</v>
      </c>
      <c r="B22" s="15"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4"/>
    <col collapsed="false" customWidth="true" hidden="false" outlineLevel="0" max="4" min="4" style="1" width="12"/>
    <col collapsed="false" customWidth="true" hidden="false" outlineLevel="0" max="6" min="5" style="1" width="14"/>
    <col collapsed="false" customWidth="true" hidden="false" outlineLevel="0" max="8" min="7" style="1" width="12"/>
    <col collapsed="false" customWidth="true" hidden="false" outlineLevel="0" max="10" min="10" style="1" width="13"/>
    <col collapsed="false" customWidth="true" hidden="false" outlineLevel="0" max="11" min="11" style="1" width="12"/>
  </cols>
  <sheetData>
    <row r="1" customFormat="false" ht="18" hidden="false" customHeight="true" outlineLevel="0" collapsed="false">
      <c r="A1" s="2" t="s">
        <v>304</v>
      </c>
      <c r="B1" s="3"/>
      <c r="C1" s="3"/>
      <c r="D1" s="3"/>
      <c r="E1" s="3"/>
      <c r="F1" s="3"/>
      <c r="G1" s="3"/>
      <c r="H1" s="3"/>
      <c r="I1" s="3"/>
      <c r="J1" s="3"/>
      <c r="K1" s="3"/>
    </row>
    <row r="2" customFormat="false" ht="15" hidden="false" customHeight="true" outlineLevel="0" collapsed="false">
      <c r="A2" s="3"/>
      <c r="B2" s="3"/>
      <c r="C2" s="3"/>
      <c r="D2" s="3"/>
      <c r="E2" s="3"/>
      <c r="F2" s="3"/>
      <c r="G2" s="3"/>
      <c r="H2" s="3"/>
      <c r="I2" s="3"/>
      <c r="J2" s="3"/>
      <c r="K2" s="3"/>
    </row>
    <row r="3" customFormat="false" ht="15" hidden="false" customHeight="true" outlineLevel="0" collapsed="false">
      <c r="A3" s="3"/>
      <c r="B3" s="3"/>
      <c r="C3" s="3"/>
      <c r="D3" s="3"/>
      <c r="E3" s="3"/>
      <c r="F3" s="3"/>
      <c r="G3" s="3"/>
      <c r="H3" s="3"/>
      <c r="I3" s="3"/>
      <c r="J3" s="3"/>
      <c r="K3" s="3"/>
    </row>
    <row r="4" customFormat="false" ht="45" hidden="false" customHeight="true" outlineLevel="0" collapsed="false">
      <c r="A4" s="8" t="s">
        <v>305</v>
      </c>
      <c r="B4" s="8" t="s">
        <v>99</v>
      </c>
      <c r="C4" s="8" t="s">
        <v>306</v>
      </c>
      <c r="D4" s="8" t="s">
        <v>307</v>
      </c>
      <c r="E4" s="8" t="s">
        <v>308</v>
      </c>
      <c r="F4" s="18" t="s">
        <v>309</v>
      </c>
      <c r="G4" s="18" t="s">
        <v>310</v>
      </c>
      <c r="H4" s="18" t="s">
        <v>311</v>
      </c>
      <c r="I4" s="3"/>
      <c r="J4" s="5" t="s">
        <v>312</v>
      </c>
      <c r="K4" s="3"/>
    </row>
    <row r="5" customFormat="false" ht="30" hidden="false" customHeight="true" outlineLevel="0" collapsed="false">
      <c r="A5" s="15" t="s">
        <v>313</v>
      </c>
      <c r="B5" s="15" t="s">
        <v>104</v>
      </c>
      <c r="C5" s="19" t="n">
        <v>46115</v>
      </c>
      <c r="D5" s="15" t="n">
        <v>8</v>
      </c>
      <c r="E5" s="19" t="n">
        <v>46128</v>
      </c>
      <c r="F5" s="28" t="n">
        <f aca="false">WORKDAY(C5,D5,Festivos!$A$5:$A$22)</f>
        <v>46127</v>
      </c>
      <c r="G5" s="20" t="n">
        <f aca="false">IF(E5="","",NETWORKDAYS(C5,E5,Festivos!$A$5:$A$22))</f>
        <v>9</v>
      </c>
      <c r="H5" s="20" t="str">
        <f aca="false">IF(E5="","Pendiente",IF(E5&gt;F5,"Retrasado","A tiempo"))</f>
        <v>Retrasado</v>
      </c>
      <c r="I5" s="3"/>
      <c r="J5" s="8" t="s">
        <v>99</v>
      </c>
      <c r="K5" s="8" t="s">
        <v>314</v>
      </c>
    </row>
    <row r="6" customFormat="false" ht="15" hidden="false" customHeight="true" outlineLevel="0" collapsed="false">
      <c r="A6" s="15" t="s">
        <v>315</v>
      </c>
      <c r="B6" s="15" t="s">
        <v>107</v>
      </c>
      <c r="C6" s="19" t="n">
        <v>46167</v>
      </c>
      <c r="D6" s="15" t="n">
        <v>3</v>
      </c>
      <c r="E6" s="19" t="n">
        <v>46170</v>
      </c>
      <c r="F6" s="28" t="n">
        <f aca="false">WORKDAY(C6,D6,Festivos!$A$5:$A$22)</f>
        <v>46170</v>
      </c>
      <c r="G6" s="20" t="n">
        <f aca="false">IF(E6="","",NETWORKDAYS(C6,E6,Festivos!$A$5:$A$22))</f>
        <v>4</v>
      </c>
      <c r="H6" s="20" t="str">
        <f aca="false">IF(E6="","Pendiente",IF(E6&gt;F6,"Retrasado","A tiempo"))</f>
        <v>A tiempo</v>
      </c>
      <c r="I6" s="3"/>
      <c r="J6" s="15" t="s">
        <v>107</v>
      </c>
      <c r="K6" s="20" t="n">
        <f aca="false">COUNTIFS($B$5:$B$22,"Andina",$H$5:$H$22,"Retrasado")</f>
        <v>2</v>
      </c>
    </row>
    <row r="7" customFormat="false" ht="15" hidden="false" customHeight="true" outlineLevel="0" collapsed="false">
      <c r="A7" s="15" t="s">
        <v>316</v>
      </c>
      <c r="B7" s="15" t="s">
        <v>104</v>
      </c>
      <c r="C7" s="19" t="n">
        <v>46111</v>
      </c>
      <c r="D7" s="15" t="n">
        <v>3</v>
      </c>
      <c r="E7" s="19" t="n">
        <v>46120</v>
      </c>
      <c r="F7" s="28" t="n">
        <f aca="false">WORKDAY(C7,D7,Festivos!$A$5:$A$22)</f>
        <v>46118</v>
      </c>
      <c r="G7" s="20" t="n">
        <f aca="false">IF(E7="","",NETWORKDAYS(C7,E7,Festivos!$A$5:$A$22))</f>
        <v>6</v>
      </c>
      <c r="H7" s="20" t="str">
        <f aca="false">IF(E7="","Pendiente",IF(E7&gt;F7,"Retrasado","A tiempo"))</f>
        <v>Retrasado</v>
      </c>
      <c r="I7" s="3"/>
      <c r="J7" s="15" t="s">
        <v>104</v>
      </c>
      <c r="K7" s="20" t="n">
        <f aca="false">COUNTIFS($B$5:$B$22,"Caribe",$H$5:$H$22,"Retrasado")</f>
        <v>6</v>
      </c>
    </row>
    <row r="8" customFormat="false" ht="15" hidden="false" customHeight="true" outlineLevel="0" collapsed="false">
      <c r="A8" s="15" t="s">
        <v>317</v>
      </c>
      <c r="B8" s="15" t="s">
        <v>104</v>
      </c>
      <c r="C8" s="19" t="n">
        <v>46125</v>
      </c>
      <c r="D8" s="15" t="n">
        <v>2</v>
      </c>
      <c r="E8" s="19" t="n">
        <v>46131</v>
      </c>
      <c r="F8" s="28" t="n">
        <f aca="false">WORKDAY(C8,D8,Festivos!$A$5:$A$22)</f>
        <v>46127</v>
      </c>
      <c r="G8" s="20" t="n">
        <f aca="false">IF(E8="","",NETWORKDAYS(C8,E8,Festivos!$A$5:$A$22))</f>
        <v>5</v>
      </c>
      <c r="H8" s="20" t="str">
        <f aca="false">IF(E8="","Pendiente",IF(E8&gt;F8,"Retrasado","A tiempo"))</f>
        <v>Retrasado</v>
      </c>
      <c r="I8" s="3"/>
      <c r="J8" s="15" t="s">
        <v>129</v>
      </c>
      <c r="K8" s="20" t="n">
        <f aca="false">COUNTIFS($B$5:$B$22,"Pacífico",$H$5:$H$22,"Retrasado")</f>
        <v>0</v>
      </c>
    </row>
    <row r="9" customFormat="false" ht="15" hidden="false" customHeight="true" outlineLevel="0" collapsed="false">
      <c r="A9" s="15" t="s">
        <v>318</v>
      </c>
      <c r="B9" s="15" t="s">
        <v>129</v>
      </c>
      <c r="C9" s="19" t="n">
        <v>46134</v>
      </c>
      <c r="D9" s="15" t="n">
        <v>3</v>
      </c>
      <c r="E9" s="19"/>
      <c r="F9" s="28" t="n">
        <f aca="false">WORKDAY(C9,D9,Festivos!$A$5:$A$22)</f>
        <v>46139</v>
      </c>
      <c r="G9" s="20" t="str">
        <f aca="false">IF(E9="","",NETWORKDAYS(C9,E9,Festivos!$A$5:$A$22))</f>
        <v/>
      </c>
      <c r="H9" s="20" t="str">
        <f aca="false">IF(E9="","Pendiente",IF(E9&gt;F9,"Retrasado","A tiempo"))</f>
        <v>Pendiente</v>
      </c>
      <c r="I9" s="3"/>
      <c r="J9" s="15" t="s">
        <v>115</v>
      </c>
      <c r="K9" s="20" t="n">
        <f aca="false">COUNTIFS($B$5:$B$22,"Orinoquía",$H$5:$H$22,"Retrasado")</f>
        <v>1</v>
      </c>
    </row>
    <row r="10" customFormat="false" ht="15" hidden="false" customHeight="true" outlineLevel="0" collapsed="false">
      <c r="A10" s="15" t="s">
        <v>319</v>
      </c>
      <c r="B10" s="15" t="s">
        <v>107</v>
      </c>
      <c r="C10" s="19" t="n">
        <v>46132</v>
      </c>
      <c r="D10" s="15" t="n">
        <v>8</v>
      </c>
      <c r="E10" s="19" t="n">
        <v>46142</v>
      </c>
      <c r="F10" s="28" t="n">
        <f aca="false">WORKDAY(C10,D10,Festivos!$A$5:$A$22)</f>
        <v>46142</v>
      </c>
      <c r="G10" s="20" t="n">
        <f aca="false">IF(E10="","",NETWORKDAYS(C10,E10,Festivos!$A$5:$A$22))</f>
        <v>9</v>
      </c>
      <c r="H10" s="20" t="str">
        <f aca="false">IF(E10="","Pendiente",IF(E10&gt;F10,"Retrasado","A tiempo"))</f>
        <v>A tiempo</v>
      </c>
      <c r="I10" s="3"/>
      <c r="J10" s="3"/>
      <c r="K10" s="3"/>
    </row>
    <row r="11" customFormat="false" ht="15" hidden="false" customHeight="true" outlineLevel="0" collapsed="false">
      <c r="A11" s="15" t="s">
        <v>320</v>
      </c>
      <c r="B11" s="15" t="s">
        <v>104</v>
      </c>
      <c r="C11" s="19" t="n">
        <v>46142</v>
      </c>
      <c r="D11" s="15" t="n">
        <v>8</v>
      </c>
      <c r="E11" s="19" t="n">
        <v>46156</v>
      </c>
      <c r="F11" s="28" t="n">
        <f aca="false">WORKDAY(C11,D11,Festivos!$A$5:$A$22)</f>
        <v>46155</v>
      </c>
      <c r="G11" s="20" t="n">
        <f aca="false">IF(E11="","",NETWORKDAYS(C11,E11,Festivos!$A$5:$A$22))</f>
        <v>10</v>
      </c>
      <c r="H11" s="20" t="str">
        <f aca="false">IF(E11="","Pendiente",IF(E11&gt;F11,"Retrasado","A tiempo"))</f>
        <v>Retrasado</v>
      </c>
      <c r="I11" s="3"/>
      <c r="J11" s="3"/>
      <c r="K11" s="3"/>
    </row>
    <row r="12" customFormat="false" ht="15" hidden="false" customHeight="true" outlineLevel="0" collapsed="false">
      <c r="A12" s="15" t="s">
        <v>321</v>
      </c>
      <c r="B12" s="15" t="s">
        <v>115</v>
      </c>
      <c r="C12" s="19" t="n">
        <v>46167</v>
      </c>
      <c r="D12" s="15" t="n">
        <v>3</v>
      </c>
      <c r="E12" s="19" t="n">
        <v>46170</v>
      </c>
      <c r="F12" s="28" t="n">
        <f aca="false">WORKDAY(C12,D12,Festivos!$A$5:$A$22)</f>
        <v>46170</v>
      </c>
      <c r="G12" s="20" t="n">
        <f aca="false">IF(E12="","",NETWORKDAYS(C12,E12,Festivos!$A$5:$A$22))</f>
        <v>4</v>
      </c>
      <c r="H12" s="20" t="str">
        <f aca="false">IF(E12="","Pendiente",IF(E12&gt;F12,"Retrasado","A tiempo"))</f>
        <v>A tiempo</v>
      </c>
      <c r="I12" s="3"/>
      <c r="J12" s="3"/>
      <c r="K12" s="3"/>
    </row>
    <row r="13" customFormat="false" ht="15" hidden="false" customHeight="true" outlineLevel="0" collapsed="false">
      <c r="A13" s="15" t="s">
        <v>322</v>
      </c>
      <c r="B13" s="15" t="s">
        <v>104</v>
      </c>
      <c r="C13" s="19" t="n">
        <v>46120</v>
      </c>
      <c r="D13" s="15" t="n">
        <v>2</v>
      </c>
      <c r="E13" s="19" t="n">
        <v>46124</v>
      </c>
      <c r="F13" s="28" t="n">
        <f aca="false">WORKDAY(C13,D13,Festivos!$A$5:$A$22)</f>
        <v>46122</v>
      </c>
      <c r="G13" s="20" t="n">
        <f aca="false">IF(E13="","",NETWORKDAYS(C13,E13,Festivos!$A$5:$A$22))</f>
        <v>3</v>
      </c>
      <c r="H13" s="20" t="str">
        <f aca="false">IF(E13="","Pendiente",IF(E13&gt;F13,"Retrasado","A tiempo"))</f>
        <v>Retrasado</v>
      </c>
      <c r="I13" s="3"/>
      <c r="J13" s="3"/>
      <c r="K13" s="3"/>
    </row>
    <row r="14" customFormat="false" ht="15" hidden="false" customHeight="true" outlineLevel="0" collapsed="false">
      <c r="A14" s="15" t="s">
        <v>323</v>
      </c>
      <c r="B14" s="15" t="s">
        <v>107</v>
      </c>
      <c r="C14" s="19" t="n">
        <v>46115</v>
      </c>
      <c r="D14" s="15" t="n">
        <v>8</v>
      </c>
      <c r="E14" s="19" t="n">
        <v>46124</v>
      </c>
      <c r="F14" s="28" t="n">
        <f aca="false">WORKDAY(C14,D14,Festivos!$A$5:$A$22)</f>
        <v>46127</v>
      </c>
      <c r="G14" s="20" t="n">
        <f aca="false">IF(E14="","",NETWORKDAYS(C14,E14,Festivos!$A$5:$A$22))</f>
        <v>5</v>
      </c>
      <c r="H14" s="20" t="str">
        <f aca="false">IF(E14="","Pendiente",IF(E14&gt;F14,"Retrasado","A tiempo"))</f>
        <v>A tiempo</v>
      </c>
      <c r="I14" s="3"/>
      <c r="J14" s="3"/>
      <c r="K14" s="3"/>
    </row>
    <row r="15" customFormat="false" ht="15" hidden="false" customHeight="true" outlineLevel="0" collapsed="false">
      <c r="A15" s="15" t="s">
        <v>324</v>
      </c>
      <c r="B15" s="15" t="s">
        <v>107</v>
      </c>
      <c r="C15" s="19" t="n">
        <v>46139</v>
      </c>
      <c r="D15" s="15" t="n">
        <v>8</v>
      </c>
      <c r="E15" s="19" t="n">
        <v>46148</v>
      </c>
      <c r="F15" s="28" t="n">
        <f aca="false">WORKDAY(C15,D15,Festivos!$A$5:$A$22)</f>
        <v>46150</v>
      </c>
      <c r="G15" s="20" t="n">
        <f aca="false">IF(E15="","",NETWORKDAYS(C15,E15,Festivos!$A$5:$A$22))</f>
        <v>7</v>
      </c>
      <c r="H15" s="20" t="str">
        <f aca="false">IF(E15="","Pendiente",IF(E15&gt;F15,"Retrasado","A tiempo"))</f>
        <v>A tiempo</v>
      </c>
      <c r="I15" s="3"/>
      <c r="J15" s="3"/>
      <c r="K15" s="3"/>
    </row>
    <row r="16" customFormat="false" ht="15" hidden="false" customHeight="true" outlineLevel="0" collapsed="false">
      <c r="A16" s="15" t="s">
        <v>325</v>
      </c>
      <c r="B16" s="15" t="s">
        <v>129</v>
      </c>
      <c r="C16" s="19" t="n">
        <v>46128</v>
      </c>
      <c r="D16" s="15" t="n">
        <v>3</v>
      </c>
      <c r="E16" s="19"/>
      <c r="F16" s="28" t="n">
        <f aca="false">WORKDAY(C16,D16,Festivos!$A$5:$A$22)</f>
        <v>46133</v>
      </c>
      <c r="G16" s="20" t="str">
        <f aca="false">IF(E16="","",NETWORKDAYS(C16,E16,Festivos!$A$5:$A$22))</f>
        <v/>
      </c>
      <c r="H16" s="20" t="str">
        <f aca="false">IF(E16="","Pendiente",IF(E16&gt;F16,"Retrasado","A tiempo"))</f>
        <v>Pendiente</v>
      </c>
      <c r="I16" s="3"/>
      <c r="J16" s="3"/>
      <c r="K16" s="3"/>
    </row>
    <row r="17" customFormat="false" ht="15" hidden="false" customHeight="true" outlineLevel="0" collapsed="false">
      <c r="A17" s="15" t="s">
        <v>326</v>
      </c>
      <c r="B17" s="15" t="s">
        <v>107</v>
      </c>
      <c r="C17" s="19" t="n">
        <v>46104</v>
      </c>
      <c r="D17" s="15" t="n">
        <v>2</v>
      </c>
      <c r="E17" s="19" t="n">
        <v>46113</v>
      </c>
      <c r="F17" s="28" t="n">
        <f aca="false">WORKDAY(C17,D17,Festivos!$A$5:$A$22)</f>
        <v>46106</v>
      </c>
      <c r="G17" s="20" t="n">
        <f aca="false">IF(E17="","",NETWORKDAYS(C17,E17,Festivos!$A$5:$A$22))</f>
        <v>7</v>
      </c>
      <c r="H17" s="20" t="str">
        <f aca="false">IF(E17="","Pendiente",IF(E17&gt;F17,"Retrasado","A tiempo"))</f>
        <v>Retrasado</v>
      </c>
      <c r="I17" s="3"/>
      <c r="J17" s="3"/>
      <c r="K17" s="3"/>
    </row>
    <row r="18" customFormat="false" ht="15" hidden="false" customHeight="true" outlineLevel="0" collapsed="false">
      <c r="A18" s="15" t="s">
        <v>327</v>
      </c>
      <c r="B18" s="15" t="s">
        <v>104</v>
      </c>
      <c r="C18" s="19" t="n">
        <v>46105</v>
      </c>
      <c r="D18" s="15" t="n">
        <v>8</v>
      </c>
      <c r="E18" s="19" t="n">
        <v>46118</v>
      </c>
      <c r="F18" s="28" t="n">
        <f aca="false">WORKDAY(C18,D18,Festivos!$A$5:$A$22)</f>
        <v>46119</v>
      </c>
      <c r="G18" s="20" t="n">
        <f aca="false">IF(E18="","",NETWORKDAYS(C18,E18,Festivos!$A$5:$A$22))</f>
        <v>8</v>
      </c>
      <c r="H18" s="20" t="str">
        <f aca="false">IF(E18="","Pendiente",IF(E18&gt;F18,"Retrasado","A tiempo"))</f>
        <v>A tiempo</v>
      </c>
      <c r="I18" s="3"/>
      <c r="J18" s="3"/>
      <c r="K18" s="3"/>
    </row>
    <row r="19" customFormat="false" ht="15" hidden="false" customHeight="true" outlineLevel="0" collapsed="false">
      <c r="A19" s="15" t="s">
        <v>328</v>
      </c>
      <c r="B19" s="15" t="s">
        <v>104</v>
      </c>
      <c r="C19" s="19" t="n">
        <v>46132</v>
      </c>
      <c r="D19" s="15" t="n">
        <v>8</v>
      </c>
      <c r="E19" s="19" t="n">
        <v>46147</v>
      </c>
      <c r="F19" s="28" t="n">
        <f aca="false">WORKDAY(C19,D19,Festivos!$A$5:$A$22)</f>
        <v>46142</v>
      </c>
      <c r="G19" s="20" t="n">
        <f aca="false">IF(E19="","",NETWORKDAYS(C19,E19,Festivos!$A$5:$A$22))</f>
        <v>11</v>
      </c>
      <c r="H19" s="20" t="str">
        <f aca="false">IF(E19="","Pendiente",IF(E19&gt;F19,"Retrasado","A tiempo"))</f>
        <v>Retrasado</v>
      </c>
      <c r="I19" s="3"/>
      <c r="J19" s="3"/>
      <c r="K19" s="3"/>
    </row>
    <row r="20" customFormat="false" ht="15" hidden="false" customHeight="true" outlineLevel="0" collapsed="false">
      <c r="A20" s="15" t="s">
        <v>329</v>
      </c>
      <c r="B20" s="15" t="s">
        <v>115</v>
      </c>
      <c r="C20" s="19" t="n">
        <v>46163</v>
      </c>
      <c r="D20" s="15" t="n">
        <v>5</v>
      </c>
      <c r="E20" s="19" t="n">
        <v>46171</v>
      </c>
      <c r="F20" s="28" t="n">
        <f aca="false">WORKDAY(C20,D20,Festivos!$A$5:$A$22)</f>
        <v>46170</v>
      </c>
      <c r="G20" s="20" t="n">
        <f aca="false">IF(E20="","",NETWORKDAYS(C20,E20,Festivos!$A$5:$A$22))</f>
        <v>7</v>
      </c>
      <c r="H20" s="20" t="str">
        <f aca="false">IF(E20="","Pendiente",IF(E20&gt;F20,"Retrasado","A tiempo"))</f>
        <v>Retrasado</v>
      </c>
      <c r="I20" s="3"/>
      <c r="J20" s="3"/>
      <c r="K20" s="3"/>
    </row>
    <row r="21" customFormat="false" ht="15" hidden="false" customHeight="true" outlineLevel="0" collapsed="false">
      <c r="A21" s="15" t="s">
        <v>330</v>
      </c>
      <c r="B21" s="15" t="s">
        <v>107</v>
      </c>
      <c r="C21" s="19" t="n">
        <v>46114</v>
      </c>
      <c r="D21" s="15" t="n">
        <v>8</v>
      </c>
      <c r="E21" s="19"/>
      <c r="F21" s="28" t="n">
        <f aca="false">WORKDAY(C21,D21,Festivos!$A$5:$A$22)</f>
        <v>46127</v>
      </c>
      <c r="G21" s="20" t="str">
        <f aca="false">IF(E21="","",NETWORKDAYS(C21,E21,Festivos!$A$5:$A$22))</f>
        <v/>
      </c>
      <c r="H21" s="20" t="str">
        <f aca="false">IF(E21="","Pendiente",IF(E21&gt;F21,"Retrasado","A tiempo"))</f>
        <v>Pendiente</v>
      </c>
      <c r="I21" s="3"/>
      <c r="J21" s="3"/>
      <c r="K21" s="3"/>
    </row>
    <row r="22" customFormat="false" ht="15" hidden="false" customHeight="true" outlineLevel="0" collapsed="false">
      <c r="A22" s="15" t="s">
        <v>331</v>
      </c>
      <c r="B22" s="15" t="s">
        <v>107</v>
      </c>
      <c r="C22" s="19" t="n">
        <v>46147</v>
      </c>
      <c r="D22" s="15" t="n">
        <v>8</v>
      </c>
      <c r="E22" s="19" t="n">
        <v>46160</v>
      </c>
      <c r="F22" s="28" t="n">
        <f aca="false">WORKDAY(C22,D22,Festivos!$A$5:$A$22)</f>
        <v>46157</v>
      </c>
      <c r="G22" s="20" t="n">
        <f aca="false">IF(E22="","",NETWORKDAYS(C22,E22,Festivos!$A$5:$A$22))</f>
        <v>9</v>
      </c>
      <c r="H22" s="20" t="str">
        <f aca="false">IF(E22="","Pendiente",IF(E22&gt;F22,"Retrasado","A tiempo"))</f>
        <v>Retrasado</v>
      </c>
      <c r="I22" s="3"/>
      <c r="J22" s="3"/>
      <c r="K22"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5" zeroHeight="false" outlineLevelRow="0" outlineLevelCol="0"/>
  <cols>
    <col collapsed="false" customWidth="true" hidden="false" outlineLevel="0" max="1" min="1" style="1" width="26"/>
    <col collapsed="false" customWidth="true" hidden="false" outlineLevel="0" max="2" min="2" style="1" width="24"/>
  </cols>
  <sheetData>
    <row r="1" customFormat="false" ht="18" hidden="false" customHeight="true" outlineLevel="0" collapsed="false">
      <c r="A1" s="2" t="s">
        <v>332</v>
      </c>
      <c r="B1" s="3"/>
    </row>
    <row r="2" customFormat="false" ht="15" hidden="false" customHeight="true" outlineLevel="0" collapsed="false">
      <c r="A2" s="3"/>
      <c r="B2" s="3"/>
    </row>
    <row r="3" customFormat="false" ht="15" hidden="false" customHeight="true" outlineLevel="0" collapsed="false">
      <c r="A3" s="3"/>
      <c r="B3" s="3"/>
    </row>
    <row r="4" customFormat="false" ht="15" hidden="false" customHeight="true" outlineLevel="0" collapsed="false">
      <c r="A4" s="23" t="s">
        <v>98</v>
      </c>
      <c r="B4" s="20" t="s">
        <v>110</v>
      </c>
    </row>
    <row r="5" customFormat="false" ht="15" hidden="false" customHeight="true" outlineLevel="0" collapsed="false">
      <c r="A5" s="23" t="s">
        <v>333</v>
      </c>
      <c r="B5" s="20" t="n">
        <v>1</v>
      </c>
    </row>
    <row r="6" customFormat="false" ht="15" hidden="false" customHeight="true" outlineLevel="0" collapsed="false">
      <c r="A6" s="3"/>
      <c r="B6" s="3"/>
    </row>
    <row r="7" customFormat="false" ht="15" hidden="false" customHeight="true" outlineLevel="0" collapsed="false">
      <c r="A7" s="23" t="s">
        <v>281</v>
      </c>
      <c r="B7" s="21" t="n">
        <f aca="false">SUMIFS(Ventas!$I$5:$I$84,Ventas!$C$5:$C$84,$B$4,Ventas!$B$5:$B$84,"&gt;="&amp;DATE(2026,$B$5,1),Ventas!$B$5:$B$84,"&lt;"&amp;DATE(2026,$B$5+1,1))</f>
        <v>25309800</v>
      </c>
    </row>
    <row r="8" customFormat="false" ht="15" hidden="false" customHeight="true" outlineLevel="0" collapsed="false">
      <c r="A8" s="23" t="s">
        <v>334</v>
      </c>
      <c r="B8" s="25" t="n">
        <f aca="false">SUMIFS(Ventas!$F$5:$F$84,Ventas!$C$5:$C$84,$B$4,Ventas!$B$5:$B$84,"&gt;="&amp;DATE(2026,$B$5,1),Ventas!$B$5:$B$84,"&lt;"&amp;DATE(2026,$B$5+1,1))</f>
        <v>14</v>
      </c>
    </row>
    <row r="9" customFormat="false" ht="15" hidden="false" customHeight="true" outlineLevel="0" collapsed="false">
      <c r="A9" s="23" t="s">
        <v>335</v>
      </c>
      <c r="B9" s="25" t="n">
        <f aca="false">COUNTIFS(Ventas!$C$5:$C$84,$B$4,Ventas!$B$5:$B$84,"&gt;="&amp;DATE(2026,$B$5,1),Ventas!$B$5:$B$84,"&lt;"&amp;DATE(2026,$B$5+1,1))</f>
        <v>4</v>
      </c>
    </row>
    <row r="10" customFormat="false" ht="15" hidden="false" customHeight="true" outlineLevel="0" collapsed="false">
      <c r="A10" s="23" t="s">
        <v>336</v>
      </c>
      <c r="B10" s="21" t="n">
        <f aca="false">IF(B9=0,0,B7/B9)</f>
        <v>6327450</v>
      </c>
    </row>
    <row r="11" customFormat="false" ht="15" hidden="false" customHeight="true" outlineLevel="0" collapsed="false">
      <c r="A11" s="23" t="s">
        <v>337</v>
      </c>
      <c r="B11" s="20" t="str">
        <f aca="false">IFERROR(INDEX(Ventas!$G$5:$G$84,MATCH(MAX(IF((Ventas!$C$5:$C$84=$B$4)*(MONTH(Ventas!$B$5:$B$84)=$B$5),Ventas!$F$5:$F$84)),IF((Ventas!$C$5:$C$84=$B$4)*(MONTH(Ventas!$B$5:$B$84)=$B$5),Ventas!$F$5:$F$84),0)),"")</f>
        <v/>
      </c>
    </row>
    <row r="12" customFormat="false" ht="15" hidden="false" customHeight="true" outlineLevel="0" collapsed="false">
      <c r="A12" s="23" t="s">
        <v>338</v>
      </c>
      <c r="B12" s="24" t="str">
        <f aca="false">IF($B$5=1,"N/A",IFERROR((B7-SUMIFS(Ventas!$I$5:$I$84,Ventas!$C$5:$C$84,$B$4,Ventas!$B$5:$B$84,"&gt;="&amp;DATE(2026,$B$5-1,1),Ventas!$B$5:$B$84,"&lt;"&amp;DATE(2026,$B$5,1)))/SUMIFS(Ventas!$I$5:$I$84,Ventas!$C$5:$C$84,$B$4,Ventas!$B$5:$B$84,"&gt;="&amp;DATE(2026,$B$5-1,1),Ventas!$B$5:$B$84,"&lt;"&amp;DATE(2026,$B$5,1)),"N/A"))</f>
        <v>N/A</v>
      </c>
    </row>
  </sheetData>
  <conditionalFormatting sqref="B12">
    <cfRule type="expression" priority="2" aboveAverage="0" equalAverage="0" bottom="0" percent="0" rank="0" text="" dxfId="2">
      <formula>AND(ISNUMBER(B12),B12&gt;0)</formula>
    </cfRule>
    <cfRule type="expression" priority="3" aboveAverage="0" equalAverage="0" bottom="0" percent="0" rank="0" text="" dxfId="3">
      <formula>AND(ISNUMBER(B12),B12&lt;0)</formula>
    </cfRule>
  </conditionalFormatting>
  <dataValidations count="2">
    <dataValidation allowBlank="true" errorStyle="stop" operator="between" showDropDown="false" showErrorMessage="false" showInputMessage="false" sqref="B4" type="list">
      <formula1>"Laura Gómez,Andrés Ruiz,Camila Torres,Felipe Rojas,Valentina Díaz"</formula1>
      <formula2>0</formula2>
    </dataValidation>
    <dataValidation allowBlank="true" errorStyle="stop" operator="between" showDropDown="false" showErrorMessage="false" showInputMessage="false" sqref="B5" type="list">
      <formula1>"1,2,3,4,5,6"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0" activeCellId="0" sqref="I20"/>
    </sheetView>
  </sheetViews>
  <sheetFormatPr defaultColWidth="9.1484375" defaultRowHeight="15" zeroHeight="false" outlineLevelRow="0" outlineLevelCol="0"/>
  <cols>
    <col collapsed="false" customWidth="true" hidden="false" outlineLevel="0" max="1" min="1" style="1" width="32"/>
    <col collapsed="false" customWidth="true" hidden="false" outlineLevel="0" max="2" min="2" style="1" width="17"/>
    <col collapsed="false" customWidth="true" hidden="false" outlineLevel="0" max="4" min="3" style="1" width="15"/>
    <col collapsed="false" customWidth="true" hidden="false" outlineLevel="0" max="6" min="5" style="1" width="16"/>
  </cols>
  <sheetData>
    <row r="1" customFormat="false" ht="18" hidden="false" customHeight="true" outlineLevel="0" collapsed="false">
      <c r="A1" s="2" t="s">
        <v>339</v>
      </c>
      <c r="B1" s="3"/>
      <c r="C1" s="3"/>
      <c r="D1" s="3"/>
      <c r="E1" s="3"/>
      <c r="F1" s="3"/>
      <c r="G1" s="3"/>
      <c r="H1" s="3"/>
    </row>
    <row r="2" customFormat="false" ht="15" hidden="false" customHeight="true" outlineLevel="0" collapsed="false">
      <c r="A2" s="3"/>
      <c r="B2" s="3"/>
      <c r="C2" s="3"/>
      <c r="D2" s="3"/>
      <c r="E2" s="3"/>
      <c r="F2" s="3"/>
      <c r="G2" s="3"/>
      <c r="H2" s="3"/>
    </row>
    <row r="3" customFormat="false" ht="15" hidden="false" customHeight="true" outlineLevel="0" collapsed="false">
      <c r="A3" s="23" t="s">
        <v>340</v>
      </c>
      <c r="B3" s="16" t="n">
        <v>25000000</v>
      </c>
      <c r="C3" s="3"/>
      <c r="D3" s="3"/>
      <c r="E3" s="3"/>
      <c r="F3" s="3"/>
      <c r="G3" s="3"/>
      <c r="H3" s="3"/>
    </row>
    <row r="4" customFormat="false" ht="15" hidden="false" customHeight="true" outlineLevel="0" collapsed="false">
      <c r="A4" s="23" t="s">
        <v>341</v>
      </c>
      <c r="B4" s="29" t="n">
        <v>0.245</v>
      </c>
      <c r="C4" s="3"/>
      <c r="D4" s="3"/>
      <c r="E4" s="3"/>
      <c r="F4" s="3"/>
      <c r="G4" s="3"/>
      <c r="H4" s="3"/>
    </row>
    <row r="5" customFormat="false" ht="15" hidden="false" customHeight="true" outlineLevel="0" collapsed="false">
      <c r="A5" s="23" t="s">
        <v>342</v>
      </c>
      <c r="B5" s="30" t="n">
        <v>36</v>
      </c>
      <c r="C5" s="3"/>
      <c r="D5" s="3"/>
      <c r="E5" s="3"/>
      <c r="F5" s="3"/>
      <c r="G5" s="3"/>
      <c r="H5" s="3"/>
    </row>
    <row r="6" customFormat="false" ht="15" hidden="false" customHeight="true" outlineLevel="0" collapsed="false">
      <c r="A6" s="23" t="s">
        <v>343</v>
      </c>
      <c r="B6" s="31" t="n">
        <f aca="false">(1+B4)^(1/12)-1</f>
        <v>0.018429051189552</v>
      </c>
      <c r="C6" s="3"/>
      <c r="D6" s="3"/>
      <c r="E6" s="3"/>
      <c r="F6" s="3"/>
      <c r="G6" s="3"/>
      <c r="H6" s="3"/>
    </row>
    <row r="7" customFormat="false" ht="15" hidden="false" customHeight="true" outlineLevel="0" collapsed="false">
      <c r="A7" s="23" t="s">
        <v>344</v>
      </c>
      <c r="B7" s="21" t="n">
        <f aca="false">PMT(B6,B5,-B3)</f>
        <v>956247.502261786</v>
      </c>
      <c r="C7" s="3"/>
      <c r="D7" s="3"/>
      <c r="E7" s="3"/>
      <c r="F7" s="3"/>
      <c r="G7" s="3"/>
      <c r="H7" s="3"/>
    </row>
    <row r="8" customFormat="false" ht="15" hidden="false" customHeight="true" outlineLevel="0" collapsed="false">
      <c r="A8" s="23" t="s">
        <v>345</v>
      </c>
      <c r="B8" s="16" t="n">
        <v>6000000</v>
      </c>
      <c r="C8" s="3"/>
      <c r="D8" s="3"/>
      <c r="E8" s="3"/>
      <c r="F8" s="3"/>
      <c r="G8" s="3"/>
      <c r="H8" s="3"/>
    </row>
    <row r="9" customFormat="false" ht="15" hidden="false" customHeight="true" outlineLevel="0" collapsed="false">
      <c r="A9" s="23" t="s">
        <v>346</v>
      </c>
      <c r="B9" s="30" t="n">
        <v>10</v>
      </c>
      <c r="C9" s="3"/>
      <c r="D9" s="3"/>
      <c r="E9" s="3"/>
      <c r="F9" s="3"/>
      <c r="G9" s="3"/>
      <c r="H9" s="3"/>
    </row>
    <row r="10" customFormat="false" ht="15" hidden="false" customHeight="true" outlineLevel="0" collapsed="false">
      <c r="A10" s="23" t="s">
        <v>347</v>
      </c>
      <c r="B10" s="25" t="n">
        <f aca="false">COUNTIF(F14:F49,"&gt;0")-COUNTIF(N14:N49,"&gt;0")</f>
        <v>9</v>
      </c>
      <c r="C10" s="3"/>
      <c r="D10" s="3"/>
      <c r="E10" s="3"/>
      <c r="F10" s="3"/>
      <c r="G10" s="3"/>
      <c r="H10" s="3"/>
    </row>
    <row r="11" customFormat="false" ht="15" hidden="false" customHeight="true" outlineLevel="0" collapsed="false">
      <c r="A11" s="23" t="s">
        <v>348</v>
      </c>
      <c r="B11" s="21" t="n">
        <f aca="false">SUM(D14:D49)-SUM(K14:K49)</f>
        <v>2926429.82782048</v>
      </c>
      <c r="C11" s="3"/>
      <c r="D11" s="3"/>
      <c r="E11" s="3"/>
      <c r="F11" s="3"/>
      <c r="G11" s="3"/>
      <c r="H11" s="3"/>
    </row>
    <row r="12" customFormat="false" ht="15" hidden="false" customHeight="true" outlineLevel="0" collapsed="false">
      <c r="A12" s="3"/>
      <c r="B12" s="3"/>
      <c r="C12" s="3"/>
      <c r="D12" s="3"/>
      <c r="E12" s="3"/>
      <c r="F12" s="3"/>
      <c r="G12" s="3"/>
      <c r="H12" s="3"/>
    </row>
    <row r="13" customFormat="false" ht="30" hidden="false" customHeight="true" outlineLevel="0" collapsed="false">
      <c r="A13" s="8" t="s">
        <v>333</v>
      </c>
      <c r="B13" s="18" t="s">
        <v>349</v>
      </c>
      <c r="C13" s="18" t="s">
        <v>350</v>
      </c>
      <c r="D13" s="18" t="s">
        <v>351</v>
      </c>
      <c r="E13" s="18" t="s">
        <v>352</v>
      </c>
      <c r="F13" s="18" t="s">
        <v>353</v>
      </c>
      <c r="G13" s="3"/>
      <c r="H13" s="7" t="s">
        <v>333</v>
      </c>
      <c r="I13" s="1" t="s">
        <v>349</v>
      </c>
      <c r="J13" s="1" t="s">
        <v>350</v>
      </c>
      <c r="K13" s="1" t="s">
        <v>351</v>
      </c>
      <c r="L13" s="1" t="s">
        <v>352</v>
      </c>
      <c r="M13" s="1" t="s">
        <v>354</v>
      </c>
      <c r="N13" s="1" t="s">
        <v>353</v>
      </c>
    </row>
    <row r="14" customFormat="false" ht="15" hidden="false" customHeight="true" outlineLevel="0" collapsed="false">
      <c r="A14" s="15" t="n">
        <v>1</v>
      </c>
      <c r="B14" s="21" t="n">
        <f aca="false">$B$3</f>
        <v>25000000</v>
      </c>
      <c r="C14" s="21" t="n">
        <f aca="false">$B$7</f>
        <v>956247.502261786</v>
      </c>
      <c r="D14" s="21" t="n">
        <f aca="false">B14*$B$6</f>
        <v>460726.279738799</v>
      </c>
      <c r="E14" s="21" t="n">
        <f aca="false">C14-D14</f>
        <v>495521.222522987</v>
      </c>
      <c r="F14" s="21" t="n">
        <f aca="false">MAX(0,B14-E14)</f>
        <v>24504478.777477</v>
      </c>
      <c r="G14" s="3"/>
      <c r="H14" s="3" t="n">
        <v>1</v>
      </c>
      <c r="I14" s="32" t="n">
        <f aca="false">$B$3</f>
        <v>25000000</v>
      </c>
      <c r="J14" s="32" t="n">
        <f aca="false">IF(I14&lt;=0,0,$B$7)</f>
        <v>956247.502261786</v>
      </c>
      <c r="K14" s="1" t="n">
        <f aca="false">IF(I14&lt;=0,0,I14*$B$6)</f>
        <v>460726.279738799</v>
      </c>
      <c r="L14" s="1" t="n">
        <f aca="false">IF(I14&lt;=0,0,MIN(J14-K14,I14))</f>
        <v>495521.222522987</v>
      </c>
      <c r="M14" s="1" t="n">
        <f aca="false">IF(AND(H14=$B$9,I14&gt;0),$B$8,0)</f>
        <v>0</v>
      </c>
      <c r="N14" s="1" t="n">
        <f aca="false">MAX(0,I14-L14-M14)</f>
        <v>24504478.777477</v>
      </c>
    </row>
    <row r="15" customFormat="false" ht="15" hidden="false" customHeight="true" outlineLevel="0" collapsed="false">
      <c r="A15" s="15" t="n">
        <v>2</v>
      </c>
      <c r="B15" s="21" t="n">
        <f aca="false">F14</f>
        <v>24504478.777477</v>
      </c>
      <c r="C15" s="21" t="n">
        <f aca="false">$B$7</f>
        <v>956247.502261786</v>
      </c>
      <c r="D15" s="21" t="n">
        <f aca="false">B15*$B$6</f>
        <v>451594.293763413</v>
      </c>
      <c r="E15" s="21" t="n">
        <f aca="false">C15-D15</f>
        <v>504653.208498373</v>
      </c>
      <c r="F15" s="21" t="n">
        <f aca="false">MAX(0,B15-E15)</f>
        <v>23999825.5689786</v>
      </c>
      <c r="G15" s="3"/>
      <c r="H15" s="3" t="n">
        <v>2</v>
      </c>
      <c r="I15" s="1" t="n">
        <f aca="false">N14</f>
        <v>24504478.777477</v>
      </c>
      <c r="J15" s="32" t="n">
        <f aca="false">IF(I15&lt;=0,0,$B$7)</f>
        <v>956247.502261786</v>
      </c>
      <c r="K15" s="1" t="n">
        <f aca="false">IF(I15&lt;=0,0,I15*$B$6)</f>
        <v>451594.293763413</v>
      </c>
      <c r="L15" s="1" t="n">
        <f aca="false">IF(I15&lt;=0,0,MIN(J15-K15,I15))</f>
        <v>504653.208498373</v>
      </c>
      <c r="M15" s="1" t="n">
        <f aca="false">IF(AND(H15=$B$9,I15&gt;0),$B$8,0)</f>
        <v>0</v>
      </c>
      <c r="N15" s="1" t="n">
        <f aca="false">MAX(0,I15-L15-M15)</f>
        <v>23999825.5689786</v>
      </c>
    </row>
    <row r="16" customFormat="false" ht="15" hidden="false" customHeight="true" outlineLevel="0" collapsed="false">
      <c r="A16" s="15" t="n">
        <v>3</v>
      </c>
      <c r="B16" s="21" t="n">
        <f aca="false">F15</f>
        <v>23999825.5689786</v>
      </c>
      <c r="C16" s="21" t="n">
        <f aca="false">$B$7</f>
        <v>956247.502261786</v>
      </c>
      <c r="D16" s="21" t="n">
        <f aca="false">B16*$B$6</f>
        <v>442294.013951025</v>
      </c>
      <c r="E16" s="21" t="n">
        <f aca="false">C16-D16</f>
        <v>513953.488310761</v>
      </c>
      <c r="F16" s="21" t="n">
        <f aca="false">MAX(0,B16-E16)</f>
        <v>23485872.0806679</v>
      </c>
      <c r="G16" s="3"/>
      <c r="H16" s="3" t="n">
        <v>3</v>
      </c>
      <c r="I16" s="1" t="n">
        <f aca="false">N15</f>
        <v>23999825.5689786</v>
      </c>
      <c r="J16" s="32" t="n">
        <f aca="false">IF(I16&lt;=0,0,$B$7)</f>
        <v>956247.502261786</v>
      </c>
      <c r="K16" s="1" t="n">
        <f aca="false">IF(I16&lt;=0,0,I16*$B$6)</f>
        <v>442294.013951025</v>
      </c>
      <c r="L16" s="1" t="n">
        <f aca="false">IF(I16&lt;=0,0,MIN(J16-K16,I16))</f>
        <v>513953.488310761</v>
      </c>
      <c r="M16" s="1" t="n">
        <f aca="false">IF(AND(H16=$B$9,I16&gt;0),$B$8,0)</f>
        <v>0</v>
      </c>
      <c r="N16" s="1" t="n">
        <f aca="false">MAX(0,I16-L16-M16)</f>
        <v>23485872.0806679</v>
      </c>
    </row>
    <row r="17" customFormat="false" ht="15" hidden="false" customHeight="true" outlineLevel="0" collapsed="false">
      <c r="A17" s="15" t="n">
        <v>4</v>
      </c>
      <c r="B17" s="21" t="n">
        <f aca="false">F16</f>
        <v>23485872.0806679</v>
      </c>
      <c r="C17" s="21" t="n">
        <f aca="false">$B$7</f>
        <v>956247.502261786</v>
      </c>
      <c r="D17" s="21" t="n">
        <f aca="false">B17*$B$6</f>
        <v>432822.338805897</v>
      </c>
      <c r="E17" s="21" t="n">
        <f aca="false">C17-D17</f>
        <v>523425.163455889</v>
      </c>
      <c r="F17" s="21" t="n">
        <f aca="false">MAX(0,B17-E17)</f>
        <v>22962446.917212</v>
      </c>
      <c r="G17" s="3"/>
      <c r="H17" s="3" t="n">
        <v>4</v>
      </c>
      <c r="I17" s="1" t="n">
        <f aca="false">N16</f>
        <v>23485872.0806679</v>
      </c>
      <c r="J17" s="32" t="n">
        <f aca="false">IF(I17&lt;=0,0,$B$7)</f>
        <v>956247.502261786</v>
      </c>
      <c r="K17" s="1" t="n">
        <f aca="false">IF(I17&lt;=0,0,I17*$B$6)</f>
        <v>432822.338805897</v>
      </c>
      <c r="L17" s="1" t="n">
        <f aca="false">IF(I17&lt;=0,0,MIN(J17-K17,I17))</f>
        <v>523425.163455889</v>
      </c>
      <c r="M17" s="1" t="n">
        <f aca="false">IF(AND(H17=$B$9,I17&gt;0),$B$8,0)</f>
        <v>0</v>
      </c>
      <c r="N17" s="1" t="n">
        <f aca="false">MAX(0,I17-L17-M17)</f>
        <v>22962446.917212</v>
      </c>
    </row>
    <row r="18" customFormat="false" ht="15" hidden="false" customHeight="true" outlineLevel="0" collapsed="false">
      <c r="A18" s="15" t="n">
        <v>5</v>
      </c>
      <c r="B18" s="21" t="n">
        <f aca="false">F17</f>
        <v>22962446.917212</v>
      </c>
      <c r="C18" s="21" t="n">
        <f aca="false">$B$7</f>
        <v>956247.502261786</v>
      </c>
      <c r="D18" s="21" t="n">
        <f aca="false">B18*$B$6</f>
        <v>423176.109674669</v>
      </c>
      <c r="E18" s="21" t="n">
        <f aca="false">C18-D18</f>
        <v>533071.392587117</v>
      </c>
      <c r="F18" s="21" t="n">
        <f aca="false">MAX(0,B18-E18)</f>
        <v>22429375.5246249</v>
      </c>
      <c r="G18" s="3"/>
      <c r="H18" s="3" t="n">
        <v>5</v>
      </c>
      <c r="I18" s="1" t="n">
        <f aca="false">N17</f>
        <v>22962446.917212</v>
      </c>
      <c r="J18" s="32" t="n">
        <f aca="false">IF(I18&lt;=0,0,$B$7)</f>
        <v>956247.502261786</v>
      </c>
      <c r="K18" s="1" t="n">
        <f aca="false">IF(I18&lt;=0,0,I18*$B$6)</f>
        <v>423176.109674669</v>
      </c>
      <c r="L18" s="1" t="n">
        <f aca="false">IF(I18&lt;=0,0,MIN(J18-K18,I18))</f>
        <v>533071.392587117</v>
      </c>
      <c r="M18" s="1" t="n">
        <f aca="false">IF(AND(H18=$B$9,I18&gt;0),$B$8,0)</f>
        <v>0</v>
      </c>
      <c r="N18" s="1" t="n">
        <f aca="false">MAX(0,I18-L18-M18)</f>
        <v>22429375.5246249</v>
      </c>
    </row>
    <row r="19" customFormat="false" ht="15" hidden="false" customHeight="true" outlineLevel="0" collapsed="false">
      <c r="A19" s="15" t="n">
        <v>6</v>
      </c>
      <c r="B19" s="21" t="n">
        <f aca="false">F18</f>
        <v>22429375.5246249</v>
      </c>
      <c r="C19" s="21" t="n">
        <f aca="false">$B$7</f>
        <v>956247.502261786</v>
      </c>
      <c r="D19" s="21" t="n">
        <f aca="false">B19*$B$6</f>
        <v>413352.109692996</v>
      </c>
      <c r="E19" s="21" t="n">
        <f aca="false">C19-D19</f>
        <v>542895.392568791</v>
      </c>
      <c r="F19" s="21" t="n">
        <f aca="false">MAX(0,B19-E19)</f>
        <v>21886480.1320561</v>
      </c>
      <c r="G19" s="3"/>
      <c r="H19" s="3" t="n">
        <v>6</v>
      </c>
      <c r="I19" s="1" t="n">
        <f aca="false">N18</f>
        <v>22429375.5246249</v>
      </c>
      <c r="J19" s="32" t="n">
        <f aca="false">IF(I19&lt;=0,0,$B$7)</f>
        <v>956247.502261786</v>
      </c>
      <c r="K19" s="1" t="n">
        <f aca="false">IF(I19&lt;=0,0,I19*$B$6)</f>
        <v>413352.109692996</v>
      </c>
      <c r="L19" s="1" t="n">
        <f aca="false">IF(I19&lt;=0,0,MIN(J19-K19,I19))</f>
        <v>542895.392568791</v>
      </c>
      <c r="M19" s="1" t="n">
        <f aca="false">IF(AND(H19=$B$9,I19&gt;0),$B$8,0)</f>
        <v>0</v>
      </c>
      <c r="N19" s="1" t="n">
        <f aca="false">MAX(0,I19-L19-M19)</f>
        <v>21886480.1320561</v>
      </c>
    </row>
    <row r="20" customFormat="false" ht="15" hidden="false" customHeight="true" outlineLevel="0" collapsed="false">
      <c r="A20" s="15" t="n">
        <v>7</v>
      </c>
      <c r="B20" s="21" t="n">
        <f aca="false">F19</f>
        <v>21886480.1320561</v>
      </c>
      <c r="C20" s="21" t="n">
        <f aca="false">$B$7</f>
        <v>956247.502261786</v>
      </c>
      <c r="D20" s="21" t="n">
        <f aca="false">B20*$B$6</f>
        <v>403347.062712773</v>
      </c>
      <c r="E20" s="21" t="n">
        <f aca="false">C20-D20</f>
        <v>552900.439549013</v>
      </c>
      <c r="F20" s="21" t="n">
        <f aca="false">MAX(0,B20-E20)</f>
        <v>21333579.6925071</v>
      </c>
      <c r="G20" s="3"/>
      <c r="H20" s="3" t="n">
        <v>7</v>
      </c>
      <c r="I20" s="1" t="n">
        <f aca="false">N19</f>
        <v>21886480.1320561</v>
      </c>
      <c r="J20" s="32" t="n">
        <f aca="false">IF(I20&lt;=0,0,$B$7)</f>
        <v>956247.502261786</v>
      </c>
      <c r="K20" s="1" t="n">
        <f aca="false">IF(I20&lt;=0,0,I20*$B$6)</f>
        <v>403347.062712773</v>
      </c>
      <c r="L20" s="1" t="n">
        <f aca="false">IF(I20&lt;=0,0,MIN(J20-K20,I20))</f>
        <v>552900.439549013</v>
      </c>
      <c r="M20" s="1" t="n">
        <f aca="false">IF(AND(H20=$B$9,I20&gt;0),$B$8,0)</f>
        <v>0</v>
      </c>
      <c r="N20" s="1" t="n">
        <f aca="false">MAX(0,I20-L20-M20)</f>
        <v>21333579.6925071</v>
      </c>
    </row>
    <row r="21" customFormat="false" ht="15" hidden="false" customHeight="true" outlineLevel="0" collapsed="false">
      <c r="A21" s="15" t="n">
        <v>8</v>
      </c>
      <c r="B21" s="21" t="n">
        <f aca="false">F20</f>
        <v>21333579.6925071</v>
      </c>
      <c r="C21" s="21" t="n">
        <f aca="false">$B$7</f>
        <v>956247.502261786</v>
      </c>
      <c r="D21" s="21" t="n">
        <f aca="false">B21*$B$6</f>
        <v>393157.632209599</v>
      </c>
      <c r="E21" s="21" t="n">
        <f aca="false">C21-D21</f>
        <v>563089.870052187</v>
      </c>
      <c r="F21" s="21" t="n">
        <f aca="false">MAX(0,B21-E21)</f>
        <v>20770489.8224549</v>
      </c>
      <c r="G21" s="3"/>
      <c r="H21" s="3" t="n">
        <v>8</v>
      </c>
      <c r="I21" s="1" t="n">
        <f aca="false">N20</f>
        <v>21333579.6925071</v>
      </c>
      <c r="J21" s="32" t="n">
        <f aca="false">IF(I21&lt;=0,0,$B$7)</f>
        <v>956247.502261786</v>
      </c>
      <c r="K21" s="1" t="n">
        <f aca="false">IF(I21&lt;=0,0,I21*$B$6)</f>
        <v>393157.632209599</v>
      </c>
      <c r="L21" s="1" t="n">
        <f aca="false">IF(I21&lt;=0,0,MIN(J21-K21,I21))</f>
        <v>563089.870052187</v>
      </c>
      <c r="M21" s="1" t="n">
        <f aca="false">IF(AND(H21=$B$9,I21&gt;0),$B$8,0)</f>
        <v>0</v>
      </c>
      <c r="N21" s="1" t="n">
        <f aca="false">MAX(0,I21-L21-M21)</f>
        <v>20770489.8224549</v>
      </c>
    </row>
    <row r="22" customFormat="false" ht="15" hidden="false" customHeight="true" outlineLevel="0" collapsed="false">
      <c r="A22" s="15" t="n">
        <v>9</v>
      </c>
      <c r="B22" s="21" t="n">
        <f aca="false">F21</f>
        <v>20770489.8224549</v>
      </c>
      <c r="C22" s="21" t="n">
        <f aca="false">$B$7</f>
        <v>956247.502261786</v>
      </c>
      <c r="D22" s="21" t="n">
        <f aca="false">B22*$B$6</f>
        <v>382780.420170089</v>
      </c>
      <c r="E22" s="21" t="n">
        <f aca="false">C22-D22</f>
        <v>573467.082091697</v>
      </c>
      <c r="F22" s="21" t="n">
        <f aca="false">MAX(0,B22-E22)</f>
        <v>20197022.7403632</v>
      </c>
      <c r="G22" s="3"/>
      <c r="H22" s="3" t="n">
        <v>9</v>
      </c>
      <c r="I22" s="1" t="n">
        <f aca="false">N21</f>
        <v>20770489.8224549</v>
      </c>
      <c r="J22" s="32" t="n">
        <f aca="false">IF(I22&lt;=0,0,$B$7)</f>
        <v>956247.502261786</v>
      </c>
      <c r="K22" s="1" t="n">
        <f aca="false">IF(I22&lt;=0,0,I22*$B$6)</f>
        <v>382780.420170089</v>
      </c>
      <c r="L22" s="1" t="n">
        <f aca="false">IF(I22&lt;=0,0,MIN(J22-K22,I22))</f>
        <v>573467.082091697</v>
      </c>
      <c r="M22" s="1" t="n">
        <f aca="false">IF(AND(H22=$B$9,I22&gt;0),$B$8,0)</f>
        <v>0</v>
      </c>
      <c r="N22" s="1" t="n">
        <f aca="false">MAX(0,I22-L22-M22)</f>
        <v>20197022.7403632</v>
      </c>
    </row>
    <row r="23" customFormat="false" ht="15" hidden="false" customHeight="true" outlineLevel="0" collapsed="false">
      <c r="A23" s="15" t="n">
        <v>10</v>
      </c>
      <c r="B23" s="21" t="n">
        <f aca="false">F22</f>
        <v>20197022.7403632</v>
      </c>
      <c r="C23" s="21" t="n">
        <f aca="false">$B$7</f>
        <v>956247.502261786</v>
      </c>
      <c r="D23" s="21" t="n">
        <f aca="false">B23*$B$6</f>
        <v>372211.965958698</v>
      </c>
      <c r="E23" s="21" t="n">
        <f aca="false">C23-D23</f>
        <v>584035.536303088</v>
      </c>
      <c r="F23" s="21" t="n">
        <f aca="false">MAX(0,B23-E23)</f>
        <v>19612987.2040601</v>
      </c>
      <c r="G23" s="3"/>
      <c r="H23" s="3" t="n">
        <v>10</v>
      </c>
      <c r="I23" s="1" t="n">
        <f aca="false">N22</f>
        <v>20197022.7403632</v>
      </c>
      <c r="J23" s="32" t="n">
        <f aca="false">IF(I23&lt;=0,0,$B$7)</f>
        <v>956247.502261786</v>
      </c>
      <c r="K23" s="1" t="n">
        <f aca="false">IF(I23&lt;=0,0,I23*$B$6)</f>
        <v>372211.965958698</v>
      </c>
      <c r="L23" s="1" t="n">
        <f aca="false">IF(I23&lt;=0,0,MIN(J23-K23,I23))</f>
        <v>584035.536303088</v>
      </c>
      <c r="M23" s="32" t="n">
        <f aca="false">IF(AND(H23=$B$9,I23&gt;0),$B$8,0)</f>
        <v>6000000</v>
      </c>
      <c r="N23" s="1" t="n">
        <f aca="false">MAX(0,I23-L23-M23)</f>
        <v>13612987.2040601</v>
      </c>
    </row>
    <row r="24" customFormat="false" ht="15" hidden="false" customHeight="true" outlineLevel="0" collapsed="false">
      <c r="A24" s="15" t="n">
        <v>11</v>
      </c>
      <c r="B24" s="21" t="n">
        <f aca="false">F23</f>
        <v>19612987.2040601</v>
      </c>
      <c r="C24" s="21" t="n">
        <f aca="false">$B$7</f>
        <v>956247.502261786</v>
      </c>
      <c r="D24" s="21" t="n">
        <f aca="false">B24*$B$6</f>
        <v>361448.745163651</v>
      </c>
      <c r="E24" s="21" t="n">
        <f aca="false">C24-D24</f>
        <v>594798.757098135</v>
      </c>
      <c r="F24" s="21" t="n">
        <f aca="false">MAX(0,B24-E24)</f>
        <v>19018188.446962</v>
      </c>
      <c r="G24" s="3"/>
      <c r="H24" s="3" t="n">
        <v>11</v>
      </c>
      <c r="I24" s="1" t="n">
        <f aca="false">N23</f>
        <v>13612987.2040601</v>
      </c>
      <c r="J24" s="32" t="n">
        <f aca="false">IF(I24&lt;=0,0,$B$7)</f>
        <v>956247.502261786</v>
      </c>
      <c r="K24" s="1" t="n">
        <f aca="false">IF(I24&lt;=0,0,I24*$B$6)</f>
        <v>250874.438026339</v>
      </c>
      <c r="L24" s="1" t="n">
        <f aca="false">IF(I24&lt;=0,0,MIN(J24-K24,I24))</f>
        <v>705373.064235447</v>
      </c>
      <c r="M24" s="1" t="n">
        <f aca="false">IF(AND(H24=$B$9,I24&gt;0),$B$8,0)</f>
        <v>0</v>
      </c>
      <c r="N24" s="1" t="n">
        <f aca="false">MAX(0,I24-L24-M24)</f>
        <v>12907614.1398246</v>
      </c>
    </row>
    <row r="25" customFormat="false" ht="15" hidden="false" customHeight="true" outlineLevel="0" collapsed="false">
      <c r="A25" s="15" t="n">
        <v>12</v>
      </c>
      <c r="B25" s="21" t="n">
        <f aca="false">F24</f>
        <v>19018188.446962</v>
      </c>
      <c r="C25" s="21" t="n">
        <f aca="false">$B$7</f>
        <v>956247.502261786</v>
      </c>
      <c r="D25" s="21" t="n">
        <f aca="false">B25*$B$6</f>
        <v>350487.168421608</v>
      </c>
      <c r="E25" s="21" t="n">
        <f aca="false">C25-D25</f>
        <v>605760.333840178</v>
      </c>
      <c r="F25" s="21" t="n">
        <f aca="false">MAX(0,B25-E25)</f>
        <v>18412428.1131218</v>
      </c>
      <c r="G25" s="3"/>
      <c r="H25" s="3" t="n">
        <v>12</v>
      </c>
      <c r="I25" s="1" t="n">
        <f aca="false">N24</f>
        <v>12907614.1398246</v>
      </c>
      <c r="J25" s="32" t="n">
        <f aca="false">IF(I25&lt;=0,0,$B$7)</f>
        <v>956247.502261786</v>
      </c>
      <c r="K25" s="1" t="n">
        <f aca="false">IF(I25&lt;=0,0,I25*$B$6)</f>
        <v>237875.081717813</v>
      </c>
      <c r="L25" s="1" t="n">
        <f aca="false">IF(I25&lt;=0,0,MIN(J25-K25,I25))</f>
        <v>718372.420543973</v>
      </c>
      <c r="M25" s="1" t="n">
        <f aca="false">IF(AND(H25=$B$9,I25&gt;0),$B$8,0)</f>
        <v>0</v>
      </c>
      <c r="N25" s="1" t="n">
        <f aca="false">MAX(0,I25-L25-M25)</f>
        <v>12189241.7192807</v>
      </c>
    </row>
    <row r="26" customFormat="false" ht="15" hidden="false" customHeight="true" outlineLevel="0" collapsed="false">
      <c r="A26" s="15" t="n">
        <v>13</v>
      </c>
      <c r="B26" s="21" t="n">
        <f aca="false">F25</f>
        <v>18412428.1131218</v>
      </c>
      <c r="C26" s="21" t="n">
        <f aca="false">$B$7</f>
        <v>956247.502261786</v>
      </c>
      <c r="D26" s="21" t="n">
        <f aca="false">B26*$B$6</f>
        <v>339323.580220667</v>
      </c>
      <c r="E26" s="21" t="n">
        <f aca="false">C26-D26</f>
        <v>616923.922041119</v>
      </c>
      <c r="F26" s="21" t="n">
        <f aca="false">MAX(0,B26-E26)</f>
        <v>17795504.1910807</v>
      </c>
      <c r="G26" s="3"/>
      <c r="H26" s="3" t="n">
        <v>13</v>
      </c>
      <c r="I26" s="1" t="n">
        <f aca="false">N25</f>
        <v>12189241.7192807</v>
      </c>
      <c r="J26" s="32" t="n">
        <f aca="false">IF(I26&lt;=0,0,$B$7)</f>
        <v>956247.502261786</v>
      </c>
      <c r="K26" s="1" t="n">
        <f aca="false">IF(I26&lt;=0,0,I26*$B$6)</f>
        <v>224636.159606446</v>
      </c>
      <c r="L26" s="1" t="n">
        <f aca="false">IF(I26&lt;=0,0,MIN(J26-K26,I26))</f>
        <v>731611.34265534</v>
      </c>
      <c r="M26" s="1" t="n">
        <f aca="false">IF(AND(H26=$B$9,I26&gt;0),$B$8,0)</f>
        <v>0</v>
      </c>
      <c r="N26" s="1" t="n">
        <f aca="false">MAX(0,I26-L26-M26)</f>
        <v>11457630.3766253</v>
      </c>
    </row>
    <row r="27" customFormat="false" ht="15" hidden="false" customHeight="true" outlineLevel="0" collapsed="false">
      <c r="A27" s="15" t="n">
        <v>14</v>
      </c>
      <c r="B27" s="21" t="n">
        <f aca="false">F26</f>
        <v>17795504.1910807</v>
      </c>
      <c r="C27" s="21" t="n">
        <f aca="false">$B$7</f>
        <v>956247.502261786</v>
      </c>
      <c r="D27" s="21" t="n">
        <f aca="false">B27*$B$6</f>
        <v>327954.257681312</v>
      </c>
      <c r="E27" s="21" t="n">
        <f aca="false">C27-D27</f>
        <v>628293.244580474</v>
      </c>
      <c r="F27" s="21" t="n">
        <f aca="false">MAX(0,B27-E27)</f>
        <v>17167210.9465002</v>
      </c>
      <c r="G27" s="3"/>
      <c r="H27" s="3" t="n">
        <v>14</v>
      </c>
      <c r="I27" s="1" t="n">
        <f aca="false">N26</f>
        <v>11457630.3766253</v>
      </c>
      <c r="J27" s="32" t="n">
        <f aca="false">IF(I27&lt;=0,0,$B$7)</f>
        <v>956247.502261786</v>
      </c>
      <c r="K27" s="1" t="n">
        <f aca="false">IF(I27&lt;=0,0,I27*$B$6)</f>
        <v>211153.256721794</v>
      </c>
      <c r="L27" s="1" t="n">
        <f aca="false">IF(I27&lt;=0,0,MIN(J27-K27,I27))</f>
        <v>745094.245539992</v>
      </c>
      <c r="M27" s="1" t="n">
        <f aca="false">IF(AND(H27=$B$9,I27&gt;0),$B$8,0)</f>
        <v>0</v>
      </c>
      <c r="N27" s="1" t="n">
        <f aca="false">MAX(0,I27-L27-M27)</f>
        <v>10712536.1310853</v>
      </c>
    </row>
    <row r="28" customFormat="false" ht="15" hidden="false" customHeight="true" outlineLevel="0" collapsed="false">
      <c r="A28" s="15" t="n">
        <v>15</v>
      </c>
      <c r="B28" s="21" t="n">
        <f aca="false">F27</f>
        <v>17167210.9465002</v>
      </c>
      <c r="C28" s="21" t="n">
        <f aca="false">$B$7</f>
        <v>956247.502261786</v>
      </c>
      <c r="D28" s="21" t="n">
        <f aca="false">B28*$B$6</f>
        <v>316375.409314889</v>
      </c>
      <c r="E28" s="21" t="n">
        <f aca="false">C28-D28</f>
        <v>639872.092946897</v>
      </c>
      <c r="F28" s="21" t="n">
        <f aca="false">MAX(0,B28-E28)</f>
        <v>16527338.8535533</v>
      </c>
      <c r="G28" s="3"/>
      <c r="H28" s="3" t="n">
        <v>15</v>
      </c>
      <c r="I28" s="1" t="n">
        <f aca="false">N27</f>
        <v>10712536.1310853</v>
      </c>
      <c r="J28" s="32" t="n">
        <f aca="false">IF(I28&lt;=0,0,$B$7)</f>
        <v>956247.502261786</v>
      </c>
      <c r="K28" s="1" t="n">
        <f aca="false">IF(I28&lt;=0,0,I28*$B$6)</f>
        <v>197421.876729697</v>
      </c>
      <c r="L28" s="1" t="n">
        <f aca="false">IF(I28&lt;=0,0,MIN(J28-K28,I28))</f>
        <v>758825.625532089</v>
      </c>
      <c r="M28" s="1" t="n">
        <f aca="false">IF(AND(H28=$B$9,I28&gt;0),$B$8,0)</f>
        <v>0</v>
      </c>
      <c r="N28" s="1" t="n">
        <f aca="false">MAX(0,I28-L28-M28)</f>
        <v>9953710.50555325</v>
      </c>
    </row>
    <row r="29" customFormat="false" ht="15" hidden="false" customHeight="true" outlineLevel="0" collapsed="false">
      <c r="A29" s="15" t="n">
        <v>16</v>
      </c>
      <c r="B29" s="21" t="n">
        <f aca="false">F28</f>
        <v>16527338.8535533</v>
      </c>
      <c r="C29" s="21" t="n">
        <f aca="false">$B$7</f>
        <v>956247.502261786</v>
      </c>
      <c r="D29" s="21" t="n">
        <f aca="false">B29*$B$6</f>
        <v>304583.173759205</v>
      </c>
      <c r="E29" s="21" t="n">
        <f aca="false">C29-D29</f>
        <v>651664.328502582</v>
      </c>
      <c r="F29" s="21" t="n">
        <f aca="false">MAX(0,B29-E29)</f>
        <v>15875674.5250507</v>
      </c>
      <c r="G29" s="3"/>
      <c r="H29" s="3" t="n">
        <v>16</v>
      </c>
      <c r="I29" s="1" t="n">
        <f aca="false">N28</f>
        <v>9953710.50555325</v>
      </c>
      <c r="J29" s="32" t="n">
        <f aca="false">IF(I29&lt;=0,0,$B$7)</f>
        <v>956247.502261786</v>
      </c>
      <c r="K29" s="1" t="n">
        <f aca="false">IF(I29&lt;=0,0,I29*$B$6)</f>
        <v>183437.440432822</v>
      </c>
      <c r="L29" s="1" t="n">
        <f aca="false">IF(I29&lt;=0,0,MIN(J29-K29,I29))</f>
        <v>772810.061828964</v>
      </c>
      <c r="M29" s="1" t="n">
        <f aca="false">IF(AND(H29=$B$9,I29&gt;0),$B$8,0)</f>
        <v>0</v>
      </c>
      <c r="N29" s="1" t="n">
        <f aca="false">MAX(0,I29-L29-M29)</f>
        <v>9180900.44372429</v>
      </c>
    </row>
    <row r="30" customFormat="false" ht="15" hidden="false" customHeight="true" outlineLevel="0" collapsed="false">
      <c r="A30" s="15" t="n">
        <v>17</v>
      </c>
      <c r="B30" s="21" t="n">
        <f aca="false">F29</f>
        <v>15875674.5250507</v>
      </c>
      <c r="C30" s="21" t="n">
        <f aca="false">$B$7</f>
        <v>956247.502261786</v>
      </c>
      <c r="D30" s="21" t="n">
        <f aca="false">B30*$B$6</f>
        <v>292573.618490825</v>
      </c>
      <c r="E30" s="21" t="n">
        <f aca="false">C30-D30</f>
        <v>663673.883770961</v>
      </c>
      <c r="F30" s="21" t="n">
        <f aca="false">MAX(0,B30-E30)</f>
        <v>15212000.6412797</v>
      </c>
      <c r="G30" s="3"/>
      <c r="H30" s="3" t="n">
        <v>17</v>
      </c>
      <c r="I30" s="1" t="n">
        <f aca="false">N29</f>
        <v>9180900.44372429</v>
      </c>
      <c r="J30" s="32" t="n">
        <f aca="false">IF(I30&lt;=0,0,$B$7)</f>
        <v>956247.502261786</v>
      </c>
      <c r="K30" s="1" t="n">
        <f aca="false">IF(I30&lt;=0,0,I30*$B$6)</f>
        <v>169195.284243575</v>
      </c>
      <c r="L30" s="1" t="n">
        <f aca="false">IF(I30&lt;=0,0,MIN(J30-K30,I30))</f>
        <v>787052.218018211</v>
      </c>
      <c r="M30" s="1" t="n">
        <f aca="false">IF(AND(H30=$B$9,I30&gt;0),$B$8,0)</f>
        <v>0</v>
      </c>
      <c r="N30" s="1" t="n">
        <f aca="false">MAX(0,I30-L30-M30)</f>
        <v>8393848.22570608</v>
      </c>
    </row>
    <row r="31" customFormat="false" ht="15" hidden="false" customHeight="true" outlineLevel="0" collapsed="false">
      <c r="A31" s="15" t="n">
        <v>18</v>
      </c>
      <c r="B31" s="21" t="n">
        <f aca="false">F30</f>
        <v>15212000.6412797</v>
      </c>
      <c r="C31" s="21" t="n">
        <f aca="false">$B$7</f>
        <v>956247.502261786</v>
      </c>
      <c r="D31" s="21" t="n">
        <f aca="false">B31*$B$6</f>
        <v>280342.738513642</v>
      </c>
      <c r="E31" s="21" t="n">
        <f aca="false">C31-D31</f>
        <v>675904.763748144</v>
      </c>
      <c r="F31" s="21" t="n">
        <f aca="false">MAX(0,B31-E31)</f>
        <v>14536095.8775316</v>
      </c>
      <c r="G31" s="3"/>
      <c r="H31" s="3" t="n">
        <v>18</v>
      </c>
      <c r="I31" s="1" t="n">
        <f aca="false">N30</f>
        <v>8393848.22570608</v>
      </c>
      <c r="J31" s="32" t="n">
        <f aca="false">IF(I31&lt;=0,0,$B$7)</f>
        <v>956247.502261786</v>
      </c>
      <c r="K31" s="1" t="n">
        <f aca="false">IF(I31&lt;=0,0,I31*$B$6)</f>
        <v>154690.658628867</v>
      </c>
      <c r="L31" s="1" t="n">
        <f aca="false">IF(I31&lt;=0,0,MIN(J31-K31,I31))</f>
        <v>801556.843632919</v>
      </c>
      <c r="M31" s="1" t="n">
        <f aca="false">IF(AND(H31=$B$9,I31&gt;0),$B$8,0)</f>
        <v>0</v>
      </c>
      <c r="N31" s="1" t="n">
        <f aca="false">MAX(0,I31-L31-M31)</f>
        <v>7592291.38207316</v>
      </c>
    </row>
    <row r="32" customFormat="false" ht="15" hidden="false" customHeight="true" outlineLevel="0" collapsed="false">
      <c r="A32" s="15" t="n">
        <v>19</v>
      </c>
      <c r="B32" s="21" t="n">
        <f aca="false">F31</f>
        <v>14536095.8775316</v>
      </c>
      <c r="C32" s="21" t="n">
        <f aca="false">$B$7</f>
        <v>956247.502261786</v>
      </c>
      <c r="D32" s="21" t="n">
        <f aca="false">B32*$B$6</f>
        <v>267886.455023265</v>
      </c>
      <c r="E32" s="21" t="n">
        <f aca="false">C32-D32</f>
        <v>688361.047238521</v>
      </c>
      <c r="F32" s="21" t="n">
        <f aca="false">MAX(0,B32-E32)</f>
        <v>13847734.8302931</v>
      </c>
      <c r="G32" s="3"/>
      <c r="H32" s="3" t="n">
        <v>19</v>
      </c>
      <c r="I32" s="1" t="n">
        <f aca="false">N31</f>
        <v>7592291.38207316</v>
      </c>
      <c r="J32" s="32" t="n">
        <f aca="false">IF(I32&lt;=0,0,$B$7)</f>
        <v>956247.502261786</v>
      </c>
      <c r="K32" s="1" t="n">
        <f aca="false">IF(I32&lt;=0,0,I32*$B$6)</f>
        <v>139918.72652622</v>
      </c>
      <c r="L32" s="1" t="n">
        <f aca="false">IF(I32&lt;=0,0,MIN(J32-K32,I32))</f>
        <v>816328.775735566</v>
      </c>
      <c r="M32" s="1" t="n">
        <f aca="false">IF(AND(H32=$B$9,I32&gt;0),$B$8,0)</f>
        <v>0</v>
      </c>
      <c r="N32" s="1" t="n">
        <f aca="false">MAX(0,I32-L32-M32)</f>
        <v>6775962.60633759</v>
      </c>
    </row>
    <row r="33" customFormat="false" ht="15" hidden="false" customHeight="true" outlineLevel="0" collapsed="false">
      <c r="A33" s="15" t="n">
        <v>20</v>
      </c>
      <c r="B33" s="21" t="n">
        <f aca="false">F32</f>
        <v>13847734.8302931</v>
      </c>
      <c r="C33" s="21" t="n">
        <f aca="false">$B$7</f>
        <v>956247.502261786</v>
      </c>
      <c r="D33" s="21" t="n">
        <f aca="false">B33*$B$6</f>
        <v>255200.614046813</v>
      </c>
      <c r="E33" s="21" t="n">
        <f aca="false">C33-D33</f>
        <v>701046.888214973</v>
      </c>
      <c r="F33" s="21" t="n">
        <f aca="false">MAX(0,B33-E33)</f>
        <v>13146687.9420781</v>
      </c>
      <c r="G33" s="3"/>
      <c r="H33" s="3" t="n">
        <v>20</v>
      </c>
      <c r="I33" s="1" t="n">
        <f aca="false">N32</f>
        <v>6775962.60633759</v>
      </c>
      <c r="J33" s="32" t="n">
        <f aca="false">IF(I33&lt;=0,0,$B$7)</f>
        <v>956247.502261786</v>
      </c>
      <c r="K33" s="1" t="n">
        <f aca="false">IF(I33&lt;=0,0,I33*$B$6)</f>
        <v>124874.561730685</v>
      </c>
      <c r="L33" s="1" t="n">
        <f aca="false">IF(I33&lt;=0,0,MIN(J33-K33,I33))</f>
        <v>831372.940531101</v>
      </c>
      <c r="M33" s="1" t="n">
        <f aca="false">IF(AND(H33=$B$9,I33&gt;0),$B$8,0)</f>
        <v>0</v>
      </c>
      <c r="N33" s="1" t="n">
        <f aca="false">MAX(0,I33-L33-M33)</f>
        <v>5944589.66580649</v>
      </c>
    </row>
    <row r="34" customFormat="false" ht="15" hidden="false" customHeight="true" outlineLevel="0" collapsed="false">
      <c r="A34" s="15" t="n">
        <v>21</v>
      </c>
      <c r="B34" s="21" t="n">
        <f aca="false">F33</f>
        <v>13146687.9420781</v>
      </c>
      <c r="C34" s="21" t="n">
        <f aca="false">$B$7</f>
        <v>956247.502261786</v>
      </c>
      <c r="D34" s="21" t="n">
        <f aca="false">B34*$B$6</f>
        <v>242280.985057623</v>
      </c>
      <c r="E34" s="21" t="n">
        <f aca="false">C34-D34</f>
        <v>713966.517204163</v>
      </c>
      <c r="F34" s="21" t="n">
        <f aca="false">MAX(0,B34-E34)</f>
        <v>12432721.4248739</v>
      </c>
      <c r="G34" s="3"/>
      <c r="H34" s="3" t="n">
        <v>21</v>
      </c>
      <c r="I34" s="1" t="n">
        <f aca="false">N33</f>
        <v>5944589.66580649</v>
      </c>
      <c r="J34" s="32" t="n">
        <f aca="false">IF(I34&lt;=0,0,$B$7)</f>
        <v>956247.502261786</v>
      </c>
      <c r="K34" s="1" t="n">
        <f aca="false">IF(I34&lt;=0,0,I34*$B$6)</f>
        <v>109553.147252029</v>
      </c>
      <c r="L34" s="1" t="n">
        <f aca="false">IF(I34&lt;=0,0,MIN(J34-K34,I34))</f>
        <v>846694.355009757</v>
      </c>
      <c r="M34" s="1" t="n">
        <f aca="false">IF(AND(H34=$B$9,I34&gt;0),$B$8,0)</f>
        <v>0</v>
      </c>
      <c r="N34" s="1" t="n">
        <f aca="false">MAX(0,I34-L34-M34)</f>
        <v>5097895.31079673</v>
      </c>
    </row>
    <row r="35" customFormat="false" ht="15" hidden="false" customHeight="true" outlineLevel="0" collapsed="false">
      <c r="A35" s="15" t="n">
        <v>22</v>
      </c>
      <c r="B35" s="21" t="n">
        <f aca="false">F34</f>
        <v>12432721.4248739</v>
      </c>
      <c r="C35" s="21" t="n">
        <f aca="false">$B$7</f>
        <v>956247.502261786</v>
      </c>
      <c r="D35" s="21" t="n">
        <f aca="false">B35*$B$6</f>
        <v>229123.259564441</v>
      </c>
      <c r="E35" s="21" t="n">
        <f aca="false">C35-D35</f>
        <v>727124.242697345</v>
      </c>
      <c r="F35" s="21" t="n">
        <f aca="false">MAX(0,B35-E35)</f>
        <v>11705597.1821766</v>
      </c>
      <c r="G35" s="3"/>
      <c r="H35" s="3" t="n">
        <v>22</v>
      </c>
      <c r="I35" s="1" t="n">
        <f aca="false">N34</f>
        <v>5097895.31079673</v>
      </c>
      <c r="J35" s="32" t="n">
        <f aca="false">IF(I35&lt;=0,0,$B$7)</f>
        <v>956247.502261786</v>
      </c>
      <c r="K35" s="1" t="n">
        <f aca="false">IF(I35&lt;=0,0,I35*$B$6)</f>
        <v>93949.3736416499</v>
      </c>
      <c r="L35" s="1" t="n">
        <f aca="false">IF(I35&lt;=0,0,MIN(J35-K35,I35))</f>
        <v>862298.128620136</v>
      </c>
      <c r="M35" s="1" t="n">
        <f aca="false">IF(AND(H35=$B$9,I35&gt;0),$B$8,0)</f>
        <v>0</v>
      </c>
      <c r="N35" s="1" t="n">
        <f aca="false">MAX(0,I35-L35-M35)</f>
        <v>4235597.1821766</v>
      </c>
    </row>
    <row r="36" customFormat="false" ht="15" hidden="false" customHeight="true" outlineLevel="0" collapsed="false">
      <c r="A36" s="15" t="n">
        <v>23</v>
      </c>
      <c r="B36" s="21" t="n">
        <f aca="false">F35</f>
        <v>11705597.1821766</v>
      </c>
      <c r="C36" s="21" t="n">
        <f aca="false">$B$7</f>
        <v>956247.502261786</v>
      </c>
      <c r="D36" s="21" t="n">
        <f aca="false">B36*$B$6</f>
        <v>215723.049674608</v>
      </c>
      <c r="E36" s="21" t="n">
        <f aca="false">C36-D36</f>
        <v>740524.452587178</v>
      </c>
      <c r="F36" s="21" t="n">
        <f aca="false">MAX(0,B36-E36)</f>
        <v>10965072.7295894</v>
      </c>
      <c r="G36" s="3"/>
      <c r="H36" s="3" t="n">
        <v>23</v>
      </c>
      <c r="I36" s="1" t="n">
        <f aca="false">N35</f>
        <v>4235597.1821766</v>
      </c>
      <c r="J36" s="32" t="n">
        <f aca="false">IF(I36&lt;=0,0,$B$7)</f>
        <v>956247.502261786</v>
      </c>
      <c r="K36" s="1" t="n">
        <f aca="false">IF(I36&lt;=0,0,I36*$B$6)</f>
        <v>78058.0372886546</v>
      </c>
      <c r="L36" s="1" t="n">
        <f aca="false">IF(I36&lt;=0,0,MIN(J36-K36,I36))</f>
        <v>878189.464973131</v>
      </c>
      <c r="M36" s="1" t="n">
        <f aca="false">IF(AND(H36=$B$9,I36&gt;0),$B$8,0)</f>
        <v>0</v>
      </c>
      <c r="N36" s="1" t="n">
        <f aca="false">MAX(0,I36-L36-M36)</f>
        <v>3357407.71720347</v>
      </c>
    </row>
    <row r="37" customFormat="false" ht="15" hidden="false" customHeight="true" outlineLevel="0" collapsed="false">
      <c r="A37" s="15" t="n">
        <v>24</v>
      </c>
      <c r="B37" s="21" t="n">
        <f aca="false">F36</f>
        <v>10965072.7295894</v>
      </c>
      <c r="C37" s="21" t="n">
        <f aca="false">$B$7</f>
        <v>956247.502261786</v>
      </c>
      <c r="D37" s="21" t="n">
        <f aca="false">B37*$B$6</f>
        <v>202075.886630764</v>
      </c>
      <c r="E37" s="21" t="n">
        <f aca="false">C37-D37</f>
        <v>754171.615631022</v>
      </c>
      <c r="F37" s="21" t="n">
        <f aca="false">MAX(0,B37-E37)</f>
        <v>10210901.1139584</v>
      </c>
      <c r="G37" s="3"/>
      <c r="H37" s="3" t="n">
        <v>24</v>
      </c>
      <c r="I37" s="1" t="n">
        <f aca="false">N36</f>
        <v>3357407.71720347</v>
      </c>
      <c r="J37" s="32" t="n">
        <f aca="false">IF(I37&lt;=0,0,$B$7)</f>
        <v>956247.502261786</v>
      </c>
      <c r="K37" s="1" t="n">
        <f aca="false">IF(I37&lt;=0,0,I37*$B$6)</f>
        <v>61873.8386845395</v>
      </c>
      <c r="L37" s="1" t="n">
        <f aca="false">IF(I37&lt;=0,0,MIN(J37-K37,I37))</f>
        <v>894373.663577247</v>
      </c>
      <c r="M37" s="1" t="n">
        <f aca="false">IF(AND(H37=$B$9,I37&gt;0),$B$8,0)</f>
        <v>0</v>
      </c>
      <c r="N37" s="1" t="n">
        <f aca="false">MAX(0,I37-L37-M37)</f>
        <v>2463034.05362622</v>
      </c>
    </row>
    <row r="38" customFormat="false" ht="15" hidden="false" customHeight="true" outlineLevel="0" collapsed="false">
      <c r="A38" s="15" t="n">
        <v>25</v>
      </c>
      <c r="B38" s="21" t="n">
        <f aca="false">F37</f>
        <v>10210901.1139584</v>
      </c>
      <c r="C38" s="21" t="n">
        <f aca="false">$B$7</f>
        <v>956247.502261786</v>
      </c>
      <c r="D38" s="21" t="n">
        <f aca="false">B38*$B$6</f>
        <v>188177.219320592</v>
      </c>
      <c r="E38" s="21" t="n">
        <f aca="false">C38-D38</f>
        <v>768070.282941194</v>
      </c>
      <c r="F38" s="21" t="n">
        <f aca="false">MAX(0,B38-E38)</f>
        <v>9442830.8310172</v>
      </c>
      <c r="G38" s="3"/>
      <c r="H38" s="3" t="n">
        <v>25</v>
      </c>
      <c r="I38" s="1" t="n">
        <f aca="false">N37</f>
        <v>2463034.05362622</v>
      </c>
      <c r="J38" s="32" t="n">
        <f aca="false">IF(I38&lt;=0,0,$B$7)</f>
        <v>956247.502261786</v>
      </c>
      <c r="K38" s="1" t="n">
        <f aca="false">IF(I38&lt;=0,0,I38*$B$6)</f>
        <v>45391.3806558873</v>
      </c>
      <c r="L38" s="1" t="n">
        <f aca="false">IF(I38&lt;=0,0,MIN(J38-K38,I38))</f>
        <v>910856.121605899</v>
      </c>
      <c r="M38" s="1" t="n">
        <f aca="false">IF(AND(H38=$B$9,I38&gt;0),$B$8,0)</f>
        <v>0</v>
      </c>
      <c r="N38" s="1" t="n">
        <f aca="false">MAX(0,I38-L38-M38)</f>
        <v>1552177.93202032</v>
      </c>
    </row>
    <row r="39" customFormat="false" ht="15" hidden="false" customHeight="true" outlineLevel="0" collapsed="false">
      <c r="A39" s="15" t="n">
        <v>26</v>
      </c>
      <c r="B39" s="21" t="n">
        <f aca="false">F38</f>
        <v>9442830.8310172</v>
      </c>
      <c r="C39" s="21" t="n">
        <f aca="false">$B$7</f>
        <v>956247.502261786</v>
      </c>
      <c r="D39" s="21" t="n">
        <f aca="false">B39*$B$6</f>
        <v>174022.412759096</v>
      </c>
      <c r="E39" s="21" t="n">
        <f aca="false">C39-D39</f>
        <v>782225.089502691</v>
      </c>
      <c r="F39" s="21" t="n">
        <f aca="false">MAX(0,B39-E39)</f>
        <v>8660605.74151451</v>
      </c>
      <c r="G39" s="3"/>
      <c r="H39" s="3" t="n">
        <v>26</v>
      </c>
      <c r="I39" s="1" t="n">
        <f aca="false">N38</f>
        <v>1552177.93202032</v>
      </c>
      <c r="J39" s="32" t="n">
        <f aca="false">IF(I39&lt;=0,0,$B$7)</f>
        <v>956247.502261786</v>
      </c>
      <c r="K39" s="1" t="n">
        <f aca="false">IF(I39&lt;=0,0,I39*$B$6)</f>
        <v>28605.1665644954</v>
      </c>
      <c r="L39" s="1" t="n">
        <f aca="false">IF(I39&lt;=0,0,MIN(J39-K39,I39))</f>
        <v>927642.335697291</v>
      </c>
      <c r="M39" s="1" t="n">
        <f aca="false">IF(AND(H39=$B$9,I39&gt;0),$B$8,0)</f>
        <v>0</v>
      </c>
      <c r="N39" s="1" t="n">
        <f aca="false">MAX(0,I39-L39-M39)</f>
        <v>624535.59632303</v>
      </c>
    </row>
    <row r="40" customFormat="false" ht="15" hidden="false" customHeight="true" outlineLevel="0" collapsed="false">
      <c r="A40" s="15" t="n">
        <v>27</v>
      </c>
      <c r="B40" s="21" t="n">
        <f aca="false">F39</f>
        <v>8660605.74151451</v>
      </c>
      <c r="C40" s="21" t="n">
        <f aca="false">$B$7</f>
        <v>956247.502261786</v>
      </c>
      <c r="D40" s="21" t="n">
        <f aca="false">B40*$B$6</f>
        <v>159606.746542899</v>
      </c>
      <c r="E40" s="21" t="n">
        <f aca="false">C40-D40</f>
        <v>796640.755718887</v>
      </c>
      <c r="F40" s="21" t="n">
        <f aca="false">MAX(0,B40-E40)</f>
        <v>7863964.98579563</v>
      </c>
      <c r="G40" s="3"/>
      <c r="H40" s="3" t="n">
        <v>27</v>
      </c>
      <c r="I40" s="1" t="n">
        <f aca="false">N39</f>
        <v>624535.59632303</v>
      </c>
      <c r="J40" s="32" t="n">
        <f aca="false">IF(I40&lt;=0,0,$B$7)</f>
        <v>956247.502261786</v>
      </c>
      <c r="K40" s="1" t="n">
        <f aca="false">IF(I40&lt;=0,0,I40*$B$6)</f>
        <v>11509.5984743345</v>
      </c>
      <c r="L40" s="1" t="n">
        <f aca="false">IF(I40&lt;=0,0,MIN(J40-K40,I40))</f>
        <v>624535.59632303</v>
      </c>
      <c r="M40" s="1" t="n">
        <f aca="false">IF(AND(H40=$B$9,I40&gt;0),$B$8,0)</f>
        <v>0</v>
      </c>
      <c r="N40" s="1" t="n">
        <f aca="false">MAX(0,I40-L40-M40)</f>
        <v>0</v>
      </c>
    </row>
    <row r="41" customFormat="false" ht="15" hidden="false" customHeight="true" outlineLevel="0" collapsed="false">
      <c r="A41" s="15" t="n">
        <v>28</v>
      </c>
      <c r="B41" s="21" t="n">
        <f aca="false">F40</f>
        <v>7863964.98579563</v>
      </c>
      <c r="C41" s="21" t="n">
        <f aca="false">$B$7</f>
        <v>956247.502261786</v>
      </c>
      <c r="D41" s="21" t="n">
        <f aca="false">B41*$B$6</f>
        <v>144925.413276072</v>
      </c>
      <c r="E41" s="21" t="n">
        <f aca="false">C41-D41</f>
        <v>811322.088985714</v>
      </c>
      <c r="F41" s="21" t="n">
        <f aca="false">MAX(0,B41-E41)</f>
        <v>7052642.89680991</v>
      </c>
      <c r="G41" s="3"/>
      <c r="H41" s="3" t="n">
        <v>28</v>
      </c>
      <c r="I41" s="1" t="n">
        <f aca="false">N40</f>
        <v>0</v>
      </c>
      <c r="J41" s="1" t="n">
        <f aca="false">IF(I41&lt;=0,0,$B$7)</f>
        <v>0</v>
      </c>
      <c r="K41" s="1" t="n">
        <f aca="false">IF(I41&lt;=0,0,I41*$B$6)</f>
        <v>0</v>
      </c>
      <c r="L41" s="1" t="n">
        <f aca="false">IF(I41&lt;=0,0,MIN(J41-K41,I41))</f>
        <v>0</v>
      </c>
      <c r="M41" s="1" t="n">
        <f aca="false">IF(AND(H41=$B$9,I41&gt;0),$B$8,0)</f>
        <v>0</v>
      </c>
      <c r="N41" s="1" t="n">
        <f aca="false">MAX(0,I41-L41-M41)</f>
        <v>0</v>
      </c>
    </row>
    <row r="42" customFormat="false" ht="15" hidden="false" customHeight="true" outlineLevel="0" collapsed="false">
      <c r="A42" s="15" t="n">
        <v>29</v>
      </c>
      <c r="B42" s="21" t="n">
        <f aca="false">F41</f>
        <v>7052642.89680991</v>
      </c>
      <c r="C42" s="21" t="n">
        <f aca="false">$B$7</f>
        <v>956247.502261786</v>
      </c>
      <c r="D42" s="21" t="n">
        <f aca="false">B42*$B$6</f>
        <v>129973.51696694</v>
      </c>
      <c r="E42" s="21" t="n">
        <f aca="false">C42-D42</f>
        <v>826273.985294846</v>
      </c>
      <c r="F42" s="21" t="n">
        <f aca="false">MAX(0,B42-E42)</f>
        <v>6226368.91151507</v>
      </c>
      <c r="G42" s="3"/>
      <c r="H42" s="3" t="n">
        <v>29</v>
      </c>
      <c r="I42" s="1" t="n">
        <f aca="false">N41</f>
        <v>0</v>
      </c>
      <c r="J42" s="1" t="n">
        <f aca="false">IF(I42&lt;=0,0,$B$7)</f>
        <v>0</v>
      </c>
      <c r="K42" s="1" t="n">
        <f aca="false">IF(I42&lt;=0,0,I42*$B$6)</f>
        <v>0</v>
      </c>
      <c r="L42" s="1" t="n">
        <f aca="false">IF(I42&lt;=0,0,MIN(J42-K42,I42))</f>
        <v>0</v>
      </c>
      <c r="M42" s="1" t="n">
        <f aca="false">IF(AND(H42=$B$9,I42&gt;0),$B$8,0)</f>
        <v>0</v>
      </c>
      <c r="N42" s="1" t="n">
        <f aca="false">MAX(0,I42-L42-M42)</f>
        <v>0</v>
      </c>
    </row>
    <row r="43" customFormat="false" ht="15" hidden="false" customHeight="true" outlineLevel="0" collapsed="false">
      <c r="A43" s="15" t="n">
        <v>30</v>
      </c>
      <c r="B43" s="21" t="n">
        <f aca="false">F42</f>
        <v>6226368.91151507</v>
      </c>
      <c r="C43" s="21" t="n">
        <f aca="false">$B$7</f>
        <v>956247.502261786</v>
      </c>
      <c r="D43" s="21" t="n">
        <f aca="false">B43*$B$6</f>
        <v>114746.071395346</v>
      </c>
      <c r="E43" s="21" t="n">
        <f aca="false">C43-D43</f>
        <v>841501.43086644</v>
      </c>
      <c r="F43" s="21" t="n">
        <f aca="false">MAX(0,B43-E43)</f>
        <v>5384867.48064863</v>
      </c>
      <c r="G43" s="3"/>
      <c r="H43" s="3" t="n">
        <v>30</v>
      </c>
      <c r="I43" s="1" t="n">
        <f aca="false">N42</f>
        <v>0</v>
      </c>
      <c r="J43" s="1" t="n">
        <f aca="false">IF(I43&lt;=0,0,$B$7)</f>
        <v>0</v>
      </c>
      <c r="K43" s="1" t="n">
        <f aca="false">IF(I43&lt;=0,0,I43*$B$6)</f>
        <v>0</v>
      </c>
      <c r="L43" s="1" t="n">
        <f aca="false">IF(I43&lt;=0,0,MIN(J43-K43,I43))</f>
        <v>0</v>
      </c>
      <c r="M43" s="1" t="n">
        <f aca="false">IF(AND(H43=$B$9,I43&gt;0),$B$8,0)</f>
        <v>0</v>
      </c>
      <c r="N43" s="1" t="n">
        <f aca="false">MAX(0,I43-L43-M43)</f>
        <v>0</v>
      </c>
    </row>
    <row r="44" customFormat="false" ht="15" hidden="false" customHeight="true" outlineLevel="0" collapsed="false">
      <c r="A44" s="15" t="n">
        <v>31</v>
      </c>
      <c r="B44" s="21" t="n">
        <f aca="false">F43</f>
        <v>5384867.48064863</v>
      </c>
      <c r="C44" s="21" t="n">
        <f aca="false">$B$7</f>
        <v>956247.502261786</v>
      </c>
      <c r="D44" s="21" t="n">
        <f aca="false">B44*$B$6</f>
        <v>99237.9984498272</v>
      </c>
      <c r="E44" s="21" t="n">
        <f aca="false">C44-D44</f>
        <v>857009.503811959</v>
      </c>
      <c r="F44" s="21" t="n">
        <f aca="false">MAX(0,B44-E44)</f>
        <v>4527857.97683667</v>
      </c>
      <c r="G44" s="3"/>
      <c r="H44" s="3" t="n">
        <v>31</v>
      </c>
      <c r="I44" s="1" t="n">
        <f aca="false">N43</f>
        <v>0</v>
      </c>
      <c r="J44" s="1" t="n">
        <f aca="false">IF(I44&lt;=0,0,$B$7)</f>
        <v>0</v>
      </c>
      <c r="K44" s="1" t="n">
        <f aca="false">IF(I44&lt;=0,0,I44*$B$6)</f>
        <v>0</v>
      </c>
      <c r="L44" s="1" t="n">
        <f aca="false">IF(I44&lt;=0,0,MIN(J44-K44,I44))</f>
        <v>0</v>
      </c>
      <c r="M44" s="1" t="n">
        <f aca="false">IF(AND(H44=$B$9,I44&gt;0),$B$8,0)</f>
        <v>0</v>
      </c>
      <c r="N44" s="1" t="n">
        <f aca="false">MAX(0,I44-L44-M44)</f>
        <v>0</v>
      </c>
    </row>
    <row r="45" customFormat="false" ht="15" hidden="false" customHeight="true" outlineLevel="0" collapsed="false">
      <c r="A45" s="15" t="n">
        <v>32</v>
      </c>
      <c r="B45" s="21" t="n">
        <f aca="false">F44</f>
        <v>4527857.97683667</v>
      </c>
      <c r="C45" s="21" t="n">
        <f aca="false">$B$7</f>
        <v>956247.502261786</v>
      </c>
      <c r="D45" s="21" t="n">
        <f aca="false">B45*$B$6</f>
        <v>83444.1264341441</v>
      </c>
      <c r="E45" s="21" t="n">
        <f aca="false">C45-D45</f>
        <v>872803.375827642</v>
      </c>
      <c r="F45" s="21" t="n">
        <f aca="false">MAX(0,B45-E45)</f>
        <v>3655054.60100902</v>
      </c>
      <c r="G45" s="3"/>
      <c r="H45" s="3" t="n">
        <v>32</v>
      </c>
      <c r="I45" s="1" t="n">
        <f aca="false">N44</f>
        <v>0</v>
      </c>
      <c r="J45" s="1" t="n">
        <f aca="false">IF(I45&lt;=0,0,$B$7)</f>
        <v>0</v>
      </c>
      <c r="K45" s="1" t="n">
        <f aca="false">IF(I45&lt;=0,0,I45*$B$6)</f>
        <v>0</v>
      </c>
      <c r="L45" s="1" t="n">
        <f aca="false">IF(I45&lt;=0,0,MIN(J45-K45,I45))</f>
        <v>0</v>
      </c>
      <c r="M45" s="1" t="n">
        <f aca="false">IF(AND(H45=$B$9,I45&gt;0),$B$8,0)</f>
        <v>0</v>
      </c>
      <c r="N45" s="1" t="n">
        <f aca="false">MAX(0,I45-L45-M45)</f>
        <v>0</v>
      </c>
    </row>
    <row r="46" customFormat="false" ht="15" hidden="false" customHeight="true" outlineLevel="0" collapsed="false">
      <c r="A46" s="15" t="n">
        <v>33</v>
      </c>
      <c r="B46" s="21" t="n">
        <f aca="false">F45</f>
        <v>3655054.60100902</v>
      </c>
      <c r="C46" s="21" t="n">
        <f aca="false">$B$7</f>
        <v>956247.502261786</v>
      </c>
      <c r="D46" s="21" t="n">
        <f aca="false">B46*$B$6</f>
        <v>67359.1883426027</v>
      </c>
      <c r="E46" s="21" t="n">
        <f aca="false">C46-D46</f>
        <v>888888.313919183</v>
      </c>
      <c r="F46" s="21" t="n">
        <f aca="false">MAX(0,B46-E46)</f>
        <v>2766166.28708984</v>
      </c>
      <c r="G46" s="3"/>
      <c r="H46" s="3" t="n">
        <v>33</v>
      </c>
      <c r="I46" s="1" t="n">
        <f aca="false">N45</f>
        <v>0</v>
      </c>
      <c r="J46" s="1" t="n">
        <f aca="false">IF(I46&lt;=0,0,$B$7)</f>
        <v>0</v>
      </c>
      <c r="K46" s="1" t="n">
        <f aca="false">IF(I46&lt;=0,0,I46*$B$6)</f>
        <v>0</v>
      </c>
      <c r="L46" s="1" t="n">
        <f aca="false">IF(I46&lt;=0,0,MIN(J46-K46,I46))</f>
        <v>0</v>
      </c>
      <c r="M46" s="1" t="n">
        <f aca="false">IF(AND(H46=$B$9,I46&gt;0),$B$8,0)</f>
        <v>0</v>
      </c>
      <c r="N46" s="1" t="n">
        <f aca="false">MAX(0,I46-L46-M46)</f>
        <v>0</v>
      </c>
    </row>
    <row r="47" customFormat="false" ht="15" hidden="false" customHeight="true" outlineLevel="0" collapsed="false">
      <c r="A47" s="15" t="n">
        <v>34</v>
      </c>
      <c r="B47" s="21" t="n">
        <f aca="false">F46</f>
        <v>2766166.28708984</v>
      </c>
      <c r="C47" s="21" t="n">
        <f aca="false">$B$7</f>
        <v>956247.502261786</v>
      </c>
      <c r="D47" s="21" t="n">
        <f aca="false">B47*$B$6</f>
        <v>50977.8201035916</v>
      </c>
      <c r="E47" s="21" t="n">
        <f aca="false">C47-D47</f>
        <v>905269.682158195</v>
      </c>
      <c r="F47" s="21" t="n">
        <f aca="false">MAX(0,B47-E47)</f>
        <v>1860896.60493165</v>
      </c>
      <c r="G47" s="3"/>
      <c r="H47" s="3" t="n">
        <v>34</v>
      </c>
      <c r="I47" s="1" t="n">
        <f aca="false">N46</f>
        <v>0</v>
      </c>
      <c r="J47" s="1" t="n">
        <f aca="false">IF(I47&lt;=0,0,$B$7)</f>
        <v>0</v>
      </c>
      <c r="K47" s="1" t="n">
        <f aca="false">IF(I47&lt;=0,0,I47*$B$6)</f>
        <v>0</v>
      </c>
      <c r="L47" s="1" t="n">
        <f aca="false">IF(I47&lt;=0,0,MIN(J47-K47,I47))</f>
        <v>0</v>
      </c>
      <c r="M47" s="1" t="n">
        <f aca="false">IF(AND(H47=$B$9,I47&gt;0),$B$8,0)</f>
        <v>0</v>
      </c>
      <c r="N47" s="1" t="n">
        <f aca="false">MAX(0,I47-L47-M47)</f>
        <v>0</v>
      </c>
    </row>
    <row r="48" customFormat="false" ht="15" hidden="false" customHeight="true" outlineLevel="0" collapsed="false">
      <c r="A48" s="15" t="n">
        <v>35</v>
      </c>
      <c r="B48" s="21" t="n">
        <f aca="false">F47</f>
        <v>1860896.60493165</v>
      </c>
      <c r="C48" s="21" t="n">
        <f aca="false">$B$7</f>
        <v>956247.502261786</v>
      </c>
      <c r="D48" s="21" t="n">
        <f aca="false">B48*$B$6</f>
        <v>34294.5587907488</v>
      </c>
      <c r="E48" s="21" t="n">
        <f aca="false">C48-D48</f>
        <v>921952.943471037</v>
      </c>
      <c r="F48" s="21" t="n">
        <f aca="false">MAX(0,B48-E48)</f>
        <v>938943.661460609</v>
      </c>
      <c r="G48" s="3"/>
      <c r="H48" s="3" t="n">
        <v>35</v>
      </c>
      <c r="I48" s="1" t="n">
        <f aca="false">N47</f>
        <v>0</v>
      </c>
      <c r="J48" s="1" t="n">
        <f aca="false">IF(I48&lt;=0,0,$B$7)</f>
        <v>0</v>
      </c>
      <c r="K48" s="1" t="n">
        <f aca="false">IF(I48&lt;=0,0,I48*$B$6)</f>
        <v>0</v>
      </c>
      <c r="L48" s="1" t="n">
        <f aca="false">IF(I48&lt;=0,0,MIN(J48-K48,I48))</f>
        <v>0</v>
      </c>
      <c r="M48" s="1" t="n">
        <f aca="false">IF(AND(H48=$B$9,I48&gt;0),$B$8,0)</f>
        <v>0</v>
      </c>
      <c r="N48" s="1" t="n">
        <f aca="false">MAX(0,I48-L48-M48)</f>
        <v>0</v>
      </c>
    </row>
    <row r="49" customFormat="false" ht="15" hidden="false" customHeight="true" outlineLevel="0" collapsed="false">
      <c r="A49" s="15" t="n">
        <v>36</v>
      </c>
      <c r="B49" s="21" t="n">
        <f aca="false">F48</f>
        <v>938943.661460609</v>
      </c>
      <c r="C49" s="21" t="n">
        <f aca="false">$B$7</f>
        <v>956247.502261786</v>
      </c>
      <c r="D49" s="21" t="n">
        <f aca="false">B49*$B$6</f>
        <v>17303.8408011629</v>
      </c>
      <c r="E49" s="21" t="n">
        <f aca="false">C49-D49</f>
        <v>938943.661460623</v>
      </c>
      <c r="F49" s="21" t="n">
        <f aca="false">MAX(0,B49-E49)</f>
        <v>0</v>
      </c>
      <c r="G49" s="3"/>
      <c r="H49" s="3" t="n">
        <v>36</v>
      </c>
      <c r="I49" s="1" t="n">
        <f aca="false">N48</f>
        <v>0</v>
      </c>
      <c r="J49" s="1" t="n">
        <f aca="false">IF(I49&lt;=0,0,$B$7)</f>
        <v>0</v>
      </c>
      <c r="K49" s="1" t="n">
        <f aca="false">IF(I49&lt;=0,0,I49*$B$6)</f>
        <v>0</v>
      </c>
      <c r="L49" s="1" t="n">
        <f aca="false">IF(I49&lt;=0,0,MIN(J49-K49,I49))</f>
        <v>0</v>
      </c>
      <c r="M49" s="1" t="n">
        <f aca="false">IF(AND(H49=$B$9,I49&gt;0),$B$8,0)</f>
        <v>0</v>
      </c>
      <c r="N49" s="1" t="n">
        <f aca="false">MAX(0,I49-L49-M49)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2026-09-26T14:54:13Z</dcterms:created>
  <dc:creator>openpyxl</dc:creator>
  <dc:description/>
  <dc:language>en-US</dc:language>
  <cp:lastModifiedBy>Jose Miguel Velez Ramirez</cp:lastModifiedBy>
  <dcterms:modified xsi:type="dcterms:W3CDTF">2026-09-26T16:48:34Z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