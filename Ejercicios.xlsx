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STUDIANTES\Downloads\MisEjercicios\"/>
    </mc:Choice>
  </mc:AlternateContent>
  <xr:revisionPtr revIDLastSave="0" documentId="13_ncr:1_{EC11D70B-51A7-4DC0-8200-978832FB5D95}" xr6:coauthVersionLast="36" xr6:coauthVersionMax="47" xr10:uidLastSave="{00000000-0000-0000-0000-000000000000}"/>
  <bookViews>
    <workbookView xWindow="-120" yWindow="-120" windowWidth="29040" windowHeight="15720" tabRatio="867" activeTab="10" xr2:uid="{00000000-000D-0000-FFFF-FFFF00000000}"/>
  </bookViews>
  <sheets>
    <sheet name="Enunciados" sheetId="1" r:id="rId1"/>
    <sheet name="Catálogo" sheetId="2" r:id="rId2"/>
    <sheet name="Ventas" sheetId="3" r:id="rId3"/>
    <sheet name="E2_Resumen" sheetId="4" r:id="rId4"/>
    <sheet name="E3_Comisiones" sheetId="5" r:id="rId5"/>
    <sheet name="Empleados" sheetId="6" r:id="rId6"/>
    <sheet name="Clientes" sheetId="7" r:id="rId7"/>
    <sheet name="E6_Ranking" sheetId="8" r:id="rId8"/>
    <sheet name="Festivos" sheetId="9" r:id="rId9"/>
    <sheet name="Pedidos" sheetId="10" r:id="rId10"/>
    <sheet name="E9_Panel" sheetId="11" r:id="rId11"/>
    <sheet name="E10_Credito" sheetId="12" r:id="rId12"/>
  </sheets>
  <calcPr calcId="191029"/>
</workbook>
</file>

<file path=xl/calcChain.xml><?xml version="1.0" encoding="utf-8"?>
<calcChain xmlns="http://schemas.openxmlformats.org/spreadsheetml/2006/main">
  <c r="B7" i="12" l="1"/>
  <c r="B6" i="12"/>
  <c r="B7" i="11"/>
  <c r="K7" i="10"/>
  <c r="K8" i="10"/>
  <c r="K9" i="10"/>
  <c r="K6" i="10"/>
  <c r="H6" i="10"/>
  <c r="H7" i="10"/>
  <c r="H8" i="10"/>
  <c r="H9" i="10"/>
  <c r="H10" i="10"/>
  <c r="H11" i="10"/>
  <c r="H12" i="10"/>
  <c r="H13" i="10"/>
  <c r="H14" i="10"/>
  <c r="H15" i="10"/>
  <c r="H16" i="10"/>
  <c r="H17" i="10"/>
  <c r="H18" i="10"/>
  <c r="H19" i="10"/>
  <c r="H20" i="10"/>
  <c r="H21" i="10"/>
  <c r="H22" i="10"/>
  <c r="H5" i="10"/>
  <c r="G6" i="10"/>
  <c r="G7" i="10"/>
  <c r="G8" i="10"/>
  <c r="G9" i="10"/>
  <c r="G10" i="10"/>
  <c r="G11" i="10"/>
  <c r="G12" i="10"/>
  <c r="G13" i="10"/>
  <c r="G14" i="10"/>
  <c r="G15" i="10"/>
  <c r="G16" i="10"/>
  <c r="G17" i="10"/>
  <c r="G18" i="10"/>
  <c r="G19" i="10"/>
  <c r="G20" i="10"/>
  <c r="G21" i="10"/>
  <c r="G22" i="10"/>
  <c r="G5" i="10"/>
  <c r="F6" i="10"/>
  <c r="F7" i="10"/>
  <c r="F8" i="10"/>
  <c r="F9" i="10"/>
  <c r="F10" i="10"/>
  <c r="F11" i="10"/>
  <c r="F12" i="10"/>
  <c r="F13" i="10"/>
  <c r="F14" i="10"/>
  <c r="F15" i="10"/>
  <c r="F16" i="10"/>
  <c r="F17" i="10"/>
  <c r="F18" i="10"/>
  <c r="F19" i="10"/>
  <c r="F20" i="10"/>
  <c r="F21" i="10"/>
  <c r="F22" i="10"/>
  <c r="F5" i="10"/>
  <c r="G5" i="8"/>
  <c r="H6" i="8"/>
  <c r="H7" i="8"/>
  <c r="H5" i="8"/>
  <c r="B6" i="8"/>
  <c r="B7" i="8" s="1"/>
  <c r="B5" i="8"/>
  <c r="C6" i="8"/>
  <c r="C7" i="8"/>
  <c r="C5" i="8"/>
  <c r="I6" i="7"/>
  <c r="I7" i="7"/>
  <c r="I8" i="7"/>
  <c r="I9" i="7"/>
  <c r="I10" i="7"/>
  <c r="I11" i="7"/>
  <c r="I12" i="7"/>
  <c r="I13" i="7"/>
  <c r="I14" i="7"/>
  <c r="I15" i="7"/>
  <c r="I16" i="7"/>
  <c r="I5" i="7"/>
  <c r="H6" i="7"/>
  <c r="H7" i="7"/>
  <c r="H8" i="7"/>
  <c r="H9" i="7"/>
  <c r="H10" i="7"/>
  <c r="H11" i="7"/>
  <c r="H12" i="7"/>
  <c r="H13" i="7"/>
  <c r="H14" i="7"/>
  <c r="H15" i="7"/>
  <c r="H16" i="7"/>
  <c r="H5" i="7"/>
  <c r="G6" i="7"/>
  <c r="G7" i="7"/>
  <c r="G8" i="7"/>
  <c r="G9" i="7"/>
  <c r="G10" i="7"/>
  <c r="G11" i="7"/>
  <c r="G12" i="7"/>
  <c r="G13" i="7"/>
  <c r="G14" i="7"/>
  <c r="G15" i="7"/>
  <c r="G16" i="7"/>
  <c r="G5" i="7"/>
  <c r="F6" i="7"/>
  <c r="F7" i="7"/>
  <c r="F8" i="7"/>
  <c r="F9" i="7"/>
  <c r="F10" i="7"/>
  <c r="F11" i="7"/>
  <c r="F12" i="7"/>
  <c r="F13" i="7"/>
  <c r="F14" i="7"/>
  <c r="F15" i="7"/>
  <c r="F16" i="7"/>
  <c r="F5" i="7"/>
  <c r="E6" i="7"/>
  <c r="E7" i="7"/>
  <c r="E8" i="7"/>
  <c r="E9" i="7"/>
  <c r="E10" i="7"/>
  <c r="E11" i="7"/>
  <c r="E12" i="7"/>
  <c r="E13" i="7"/>
  <c r="E14" i="7"/>
  <c r="E15" i="7"/>
  <c r="E16" i="7"/>
  <c r="E5" i="7"/>
  <c r="D6" i="7"/>
  <c r="D7" i="7"/>
  <c r="D8" i="7"/>
  <c r="D9" i="7"/>
  <c r="D10" i="7"/>
  <c r="D11" i="7"/>
  <c r="D12" i="7"/>
  <c r="D13" i="7"/>
  <c r="D14" i="7"/>
  <c r="D15" i="7"/>
  <c r="D16" i="7"/>
  <c r="D5" i="7"/>
  <c r="H7" i="6"/>
  <c r="H8" i="6"/>
  <c r="H9" i="6"/>
  <c r="H10" i="6"/>
  <c r="H11" i="6"/>
  <c r="H12" i="6"/>
  <c r="H13" i="6"/>
  <c r="H14" i="6"/>
  <c r="H15" i="6"/>
  <c r="H6" i="6"/>
  <c r="G7" i="6"/>
  <c r="G8" i="6"/>
  <c r="G9" i="6"/>
  <c r="G10" i="6"/>
  <c r="G11" i="6"/>
  <c r="G12" i="6"/>
  <c r="G13" i="6"/>
  <c r="G14" i="6"/>
  <c r="G15" i="6"/>
  <c r="G6" i="6"/>
  <c r="F7" i="6"/>
  <c r="F8" i="6"/>
  <c r="F9" i="6"/>
  <c r="F10" i="6"/>
  <c r="F11" i="6"/>
  <c r="F12" i="6"/>
  <c r="F13" i="6"/>
  <c r="F14" i="6"/>
  <c r="F15" i="6"/>
  <c r="F6" i="6"/>
  <c r="E7" i="6"/>
  <c r="E8" i="6"/>
  <c r="E9" i="6"/>
  <c r="E10" i="6"/>
  <c r="E11" i="6"/>
  <c r="E12" i="6"/>
  <c r="E13" i="6"/>
  <c r="E14" i="6"/>
  <c r="E15" i="6"/>
  <c r="E6" i="6"/>
  <c r="E7" i="5"/>
  <c r="E8" i="5"/>
  <c r="E9" i="5"/>
  <c r="E10" i="5"/>
  <c r="E6" i="5"/>
  <c r="D7" i="5"/>
  <c r="D8" i="5"/>
  <c r="D9" i="5"/>
  <c r="D10" i="5"/>
  <c r="D6" i="5"/>
  <c r="C7" i="5"/>
  <c r="C8" i="5"/>
  <c r="C9" i="5"/>
  <c r="C10" i="5"/>
  <c r="C6" i="5"/>
  <c r="B7" i="5"/>
  <c r="B8" i="5"/>
  <c r="B9" i="5"/>
  <c r="B10" i="5"/>
  <c r="B6" i="5"/>
  <c r="I6" i="4"/>
  <c r="I7" i="4"/>
  <c r="I8" i="4"/>
  <c r="I5" i="4"/>
  <c r="H9" i="4"/>
  <c r="C9" i="4"/>
  <c r="D9" i="4"/>
  <c r="E9" i="4"/>
  <c r="F9" i="4"/>
  <c r="G9" i="4"/>
  <c r="B9" i="4"/>
  <c r="B6" i="4"/>
  <c r="B7" i="4"/>
  <c r="B8" i="4"/>
  <c r="H6" i="4"/>
  <c r="H7" i="4"/>
  <c r="H8" i="4"/>
  <c r="H5" i="4"/>
  <c r="B5" i="4"/>
  <c r="C6" i="4"/>
  <c r="D6" i="4"/>
  <c r="E6" i="4"/>
  <c r="F6" i="4"/>
  <c r="G6" i="4"/>
  <c r="C7" i="4"/>
  <c r="D7" i="4"/>
  <c r="E7" i="4"/>
  <c r="F7" i="4"/>
  <c r="G7" i="4"/>
  <c r="C8" i="4"/>
  <c r="D8" i="4"/>
  <c r="E8" i="4"/>
  <c r="F8" i="4"/>
  <c r="G8" i="4"/>
  <c r="C5" i="4"/>
  <c r="D5" i="4"/>
  <c r="E5" i="4"/>
  <c r="F5" i="4"/>
  <c r="G5" i="4"/>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5"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alcChain>
</file>

<file path=xl/sharedStrings.xml><?xml version="1.0" encoding="utf-8"?>
<sst xmlns="http://schemas.openxmlformats.org/spreadsheetml/2006/main" count="654" uniqueCount="356">
  <si>
    <t>Recuperación – Excel</t>
  </si>
  <si>
    <t>Diez ejercicios. Trabaja SOLO en las celdas amarillas de cada hoja. Las fórmulas deben quedar a la vista: un valor escrito a mano vale 0.</t>
  </si>
  <si>
    <t>Leyenda:</t>
  </si>
  <si>
    <t>Celda a completar</t>
  </si>
  <si>
    <t>Encabezado naranja = columna que debes calcular</t>
  </si>
  <si>
    <t>#</t>
  </si>
  <si>
    <t>Título</t>
  </si>
  <si>
    <t>Hoja de trabajo</t>
  </si>
  <si>
    <t>Funciones sugeridas</t>
  </si>
  <si>
    <t>Dificultad</t>
  </si>
  <si>
    <t>Enunciado</t>
  </si>
  <si>
    <t>Buscar y calcular en Ventas</t>
  </si>
  <si>
    <t>Ventas</t>
  </si>
  <si>
    <t>BUSCARX / INDICE+COINCIDIR, SI.ERROR</t>
  </si>
  <si>
    <t>Media</t>
  </si>
  <si>
    <t>Completa las columnas amarillas de la hoja Ventas. 'Producto' y 'Precio unitario' salen del Catálogo a partir del código. Ojo: hay códigos que no existen en el catálogo; en esos casos la fila debe mostrar 'CÓDIGO NO EXISTE' en Producto y 0 en precio, sin ningún #N/D a la vista. 'Total' = Cantidad × Precio aplicando el descuento de la categoría del producto (tabla de descuentos en la hoja Catálogo). Una sola fórmula por columna, arrastrada hasta el final.</t>
  </si>
  <si>
    <t>Matriz región × mes</t>
  </si>
  <si>
    <t>E2_Resumen</t>
  </si>
  <si>
    <t>SUMAR.SI.CONJUNTO, fechas, referencias mixtas</t>
  </si>
  <si>
    <t>Media-Alta</t>
  </si>
  <si>
    <t>Construye la matriz de ventas totales por región (filas) y mes (columnas) usando la columna Total de Ventas. Condición: escribes UNA sola fórmula en la celda superior izquierda y la copias a toda la matriz sin editarla (usa bien los $). Agrega totales por fila y por columna, y una columna con el % que representa cada región sobre el total general. Los meses del encabezado son fechas, no texto.</t>
  </si>
  <si>
    <t>Comisiones escalonadas y bono</t>
  </si>
  <si>
    <t>E3_Comisiones</t>
  </si>
  <si>
    <t>BUSCARV aproximado, SUMAPRODUCTO, SI</t>
  </si>
  <si>
    <t>Alta</t>
  </si>
  <si>
    <t>Para cada vendedor calcula: venta total del semestre, % de comisión según la tabla de tramos (búsqueda aproximada, sin SI anidados), valor de la comisión y el bono. El bono es de $500.000 solo si el vendedor superó la meta mensual en al menos 4 de los 6 meses. Resuelve 'meses que superó la meta' con una sola fórmula por vendedor, sin columnas auxiliares (pista: SUMAPRODUCTO o una matriz dinámica).</t>
  </si>
  <si>
    <t>Antigüedad y prima</t>
  </si>
  <si>
    <t>Empleados</t>
  </si>
  <si>
    <t>SIFECHA, fechas, concatenación, SI.CONJUNTO</t>
  </si>
  <si>
    <t>Tomando como fecha de corte la celda indicada en la hoja (no uses HOY()), calcula la antigüedad como texto con el formato '4 años y 7 meses' (si son 0 años debe decir solo '7 meses'). Luego calcula la prima: 0% con menos de 2 años, 5% de 2 a menos de 5, 10% de 5 a menos de 10 y 15% desde 10. Finalmente, la fecha del próximo aniversario laboral posterior a la fecha de corte.</t>
  </si>
  <si>
    <t>Limpieza de clientes</t>
  </si>
  <si>
    <t>Clientes</t>
  </si>
  <si>
    <t>ESPACIOS, NOMPROPIO, EXTRAE, HALLAR, SUSTITUIR, CONTAR.SI</t>
  </si>
  <si>
    <t>Los datos de clientes llegaron sucios. Completa: nombre limpio (sin espacios de más y con mayúscula inicial en cada palabra), primer apellido (segunda palabra del nombre limpio), usuario del correo (lo que va antes de @), dominio (lo que va después de @, en minúscula), teléfono normalizado (solo los 10 dígitos, sin guiones, espacios, paréntesis ni +57) y una columna 'Duplicado' que diga SÍ cuando el correo aparece más de una vez sin importar mayúsculas o espacios.</t>
  </si>
  <si>
    <t>Ranking con empates</t>
  </si>
  <si>
    <t>E6_Ranking</t>
  </si>
  <si>
    <t>K.ESIMO.MAYOR, INDICE, COINCIDIR / ORDENAR, FILTRAR</t>
  </si>
  <si>
    <t>Usando la hoja Ventas, arma el Top 3 de vendedores por venta total y el Top 3 de productos por unidades vendidas. Debe funcionar aunque haya empates (dos vendedores con el mismo total no pueden aparecer como el mismo nombre repetido). Si cambio un dato en Ventas, el ranking se actualiza solo.</t>
  </si>
  <si>
    <t>Entregas y días hábiles</t>
  </si>
  <si>
    <t>Pedidos</t>
  </si>
  <si>
    <t>DIA.LAB, DIAS.LAB, festivos, SI anidado</t>
  </si>
  <si>
    <t>Para cada pedido calcula la fecha límite de entrega sumando el plazo en días hábiles a la fecha de pedido, excluyendo sábados, domingos y los festivos de la hoja Festivos. Luego los días hábiles que tardó la entrega real y el estado: 'Pendiente' si no hay fecha de entrega, 'Retrasado' si se entregó después de la fecha límite, 'A tiempo' en otro caso. Al final, cuenta cuántos pedidos retrasados tiene cada región.</t>
  </si>
  <si>
    <t>Controles visuales</t>
  </si>
  <si>
    <t>Catálogo y Ventas</t>
  </si>
  <si>
    <t>Formato condicional con fórmula, validación de datos</t>
  </si>
  <si>
    <t>En Catálogo: resalta en rojo la FILA COMPLETA de los productos cuyo stock está por debajo del stock mínimo y en amarillo los que están a menos de 5 unidades de llegar al mínimo (usa formato condicional con fórmula, no el de reglas predefinidas). En Ventas: aplica validación de datos a la columna Código para que solo se puedan elegir códigos del Catálogo desde una lista, con un mensaje de error personalizado.</t>
  </si>
  <si>
    <t>Panel interactivo</t>
  </si>
  <si>
    <t>E9_Panel</t>
  </si>
  <si>
    <t>Validación de datos, SUMAR.SI.CONJUNTO, INDICE/COINCIDIR, formato condicional</t>
  </si>
  <si>
    <t>Crea dos listas desplegables: vendedor y mes. Según lo que se elija, el panel debe mostrar: venta total, unidades vendidas, número de transacciones, ticket promedio, producto más vendido (en unidades) y la variación % frente al mes anterior. Si el mes elegido es enero, la variación debe mostrar 'N/A'. Pon la variación en verde si es positiva y en rojo si es negativa.</t>
  </si>
  <si>
    <t>Tabla de amortización</t>
  </si>
  <si>
    <t>E10_Credito</t>
  </si>
  <si>
    <t>PAGO, tasas equivalentes, referencias absolutas</t>
  </si>
  <si>
    <t>Con los datos del crédito de la hoja, convierte la tasa efectiva anual a tasa mensual equivalente (no dividas entre 12). Calcula la cuota fija con PAGO y construye la tabla completa: cuota, interés, abono a capital y saldo. El saldo del último mes debe dar 0. Después, en el escenario B, simula un abono extraordinario en el mes indicado y calcula cuántos meses se ahorra y cuánto dinero en intereses.</t>
  </si>
  <si>
    <t>Catálogo de productos</t>
  </si>
  <si>
    <t>Datos base para los ejercicios 1 y 8.</t>
  </si>
  <si>
    <t>Código</t>
  </si>
  <si>
    <t>Producto</t>
  </si>
  <si>
    <t>Categoría</t>
  </si>
  <si>
    <t>Precio unitario</t>
  </si>
  <si>
    <t>Stock</t>
  </si>
  <si>
    <t>Stock mínimo</t>
  </si>
  <si>
    <t>Descuentos por categoría</t>
  </si>
  <si>
    <t>P-101</t>
  </si>
  <si>
    <t>Teclado mecánico</t>
  </si>
  <si>
    <t>Periféricos</t>
  </si>
  <si>
    <t>Descuento</t>
  </si>
  <si>
    <t>P-102</t>
  </si>
  <si>
    <t>Mouse inalámbrico</t>
  </si>
  <si>
    <t>P-103</t>
  </si>
  <si>
    <t>Monitor 24"</t>
  </si>
  <si>
    <t>Pantallas</t>
  </si>
  <si>
    <t>P-104</t>
  </si>
  <si>
    <t>Monitor 27"</t>
  </si>
  <si>
    <t>Equipos</t>
  </si>
  <si>
    <t>P-105</t>
  </si>
  <si>
    <t>Portátil 14"</t>
  </si>
  <si>
    <t>Audio</t>
  </si>
  <si>
    <t>P-106</t>
  </si>
  <si>
    <t>Portátil 16"</t>
  </si>
  <si>
    <t>Almacenamiento</t>
  </si>
  <si>
    <t>P-107</t>
  </si>
  <si>
    <t>Diadema USB</t>
  </si>
  <si>
    <t>Accesorios</t>
  </si>
  <si>
    <t>P-108</t>
  </si>
  <si>
    <t>Parlantes 2.1</t>
  </si>
  <si>
    <t>P-109</t>
  </si>
  <si>
    <t>Disco SSD 1TB</t>
  </si>
  <si>
    <t>P-110</t>
  </si>
  <si>
    <t>Memoria USB 128GB</t>
  </si>
  <si>
    <t>P-111</t>
  </si>
  <si>
    <t>Cámara web HD</t>
  </si>
  <si>
    <t>P-112</t>
  </si>
  <si>
    <t>Base refrigerante</t>
  </si>
  <si>
    <t>Registro de ventas – primer semestre 2026</t>
  </si>
  <si>
    <t>Ejercicio 1 (columnas naranjas). También es la fuente de los ejercicios 2, 3, 6 y 9.</t>
  </si>
  <si>
    <t>ID</t>
  </si>
  <si>
    <t>Fecha</t>
  </si>
  <si>
    <t>Vendedor</t>
  </si>
  <si>
    <t>Región</t>
  </si>
  <si>
    <t>Cantidad</t>
  </si>
  <si>
    <t>Total</t>
  </si>
  <si>
    <t>V-001</t>
  </si>
  <si>
    <t>Andrés Ruiz</t>
  </si>
  <si>
    <t>Caribe</t>
  </si>
  <si>
    <t>V-002</t>
  </si>
  <si>
    <t>Felipe Rojas</t>
  </si>
  <si>
    <t>Andina</t>
  </si>
  <si>
    <t>V-003</t>
  </si>
  <si>
    <t>V-004</t>
  </si>
  <si>
    <t>Laura Gómez</t>
  </si>
  <si>
    <t>V-005</t>
  </si>
  <si>
    <t>V-006</t>
  </si>
  <si>
    <t>V-007</t>
  </si>
  <si>
    <t>Valentina Díaz</t>
  </si>
  <si>
    <t>Orinoquía</t>
  </si>
  <si>
    <t>V-008</t>
  </si>
  <si>
    <t>V-009</t>
  </si>
  <si>
    <t>V-010</t>
  </si>
  <si>
    <t>V-011</t>
  </si>
  <si>
    <t>V-012</t>
  </si>
  <si>
    <t>V-013</t>
  </si>
  <si>
    <t>V-014</t>
  </si>
  <si>
    <t>V-015</t>
  </si>
  <si>
    <t>V-016</t>
  </si>
  <si>
    <t>V-017</t>
  </si>
  <si>
    <t>V-018</t>
  </si>
  <si>
    <t>V-019</t>
  </si>
  <si>
    <t>Camila Torres</t>
  </si>
  <si>
    <t>Pacífico</t>
  </si>
  <si>
    <t xml:space="preserve">p-101 </t>
  </si>
  <si>
    <t>V-020</t>
  </si>
  <si>
    <t>V-021</t>
  </si>
  <si>
    <t>V-022</t>
  </si>
  <si>
    <t>V-023</t>
  </si>
  <si>
    <t>V-024</t>
  </si>
  <si>
    <t>V-025</t>
  </si>
  <si>
    <t>V-026</t>
  </si>
  <si>
    <t>V-027</t>
  </si>
  <si>
    <t>P-205</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</si>
  <si>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</si>
  <si>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</si>
  <si>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</si>
  <si>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</si>
  <si>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</si>
  <si>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</si>
  <si>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</si>
  <si>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</si>
  <si>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</si>
  <si>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</si>
  <si>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</si>
  <si>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</si>
  <si>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</si>
  <si>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</si>
  <si>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</si>
  <si>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</si>
  <si>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</si>
  <si>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</si>
  <si>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</si>
  <si>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</si>
  <si>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</si>
  <si>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</si>
  <si>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</si>
  <si>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</si>
  <si>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P-199</t>
  </si>
  <si>
    <t>V-052</t>
  </si>
  <si>
    <t>V-053</t>
  </si>
  <si>
    <t>V-054</t>
  </si>
  <si>
    <t>V-055</t>
  </si>
  <si>
    <t>V-056</t>
  </si>
  <si>
    <t>V-057</t>
  </si>
  <si>
    <t>V-058</t>
  </si>
  <si>
    <t>V-059</t>
  </si>
  <si>
    <t>V-060</t>
  </si>
  <si>
    <t>V-061</t>
  </si>
  <si>
    <t>V-062</t>
  </si>
  <si>
    <t>V-063</t>
  </si>
  <si>
    <t>V-064</t>
  </si>
  <si>
    <t>V-065</t>
  </si>
  <si>
    <t>V-066</t>
  </si>
  <si>
    <t>V-067</t>
  </si>
  <si>
    <t>V-068</t>
  </si>
  <si>
    <t>V-069</t>
  </si>
  <si>
    <t>V-070</t>
  </si>
  <si>
    <t>V-071</t>
  </si>
  <si>
    <t>V-072</t>
  </si>
  <si>
    <t>V-073</t>
  </si>
  <si>
    <t>V-074</t>
  </si>
  <si>
    <t>V-075</t>
  </si>
  <si>
    <t>V-076</t>
  </si>
  <si>
    <t>V-077</t>
  </si>
  <si>
    <t>V-078</t>
  </si>
  <si>
    <t>V-079</t>
  </si>
  <si>
    <t>V-080</t>
  </si>
  <si>
    <t>Ejercicio 2 – Ventas por región y mes</t>
  </si>
  <si>
    <t>Una sola fórmula en B5, copiada a toda la matriz.</t>
  </si>
  <si>
    <t>% del total</t>
  </si>
  <si>
    <t>Ejercicio 3 – Comisiones del semestre</t>
  </si>
  <si>
    <t>Meta mensual por vendedor:</t>
  </si>
  <si>
    <t>Venta semestre</t>
  </si>
  <si>
    <t>% comisión</t>
  </si>
  <si>
    <t>Comisión</t>
  </si>
  <si>
    <t>Meses sobre la meta</t>
  </si>
  <si>
    <t>Bono</t>
  </si>
  <si>
    <t>Total a pagar</t>
  </si>
  <si>
    <t>Tabla de tramos</t>
  </si>
  <si>
    <t>Venta desde</t>
  </si>
  <si>
    <t>Ejercicio 4 – Antigüedad y prima</t>
  </si>
  <si>
    <t>Fecha de corte:</t>
  </si>
  <si>
    <t>Nombre</t>
  </si>
  <si>
    <t>Cargo</t>
  </si>
  <si>
    <t>Fecha de ingreso</t>
  </si>
  <si>
    <t>Salario base</t>
  </si>
  <si>
    <t>Antigüedad (texto)</t>
  </si>
  <si>
    <t>% prima</t>
  </si>
  <si>
    <t>Valor prima</t>
  </si>
  <si>
    <t>Próximo aniversario</t>
  </si>
  <si>
    <t>Sofía Márquez</t>
  </si>
  <si>
    <t>Analista</t>
  </si>
  <si>
    <t>Julián Herrera</t>
  </si>
  <si>
    <t>Coordinador</t>
  </si>
  <si>
    <t>Daniela Pardo</t>
  </si>
  <si>
    <t>Auxiliar</t>
  </si>
  <si>
    <t>Mateo Castillo</t>
  </si>
  <si>
    <t>Desarrollador</t>
  </si>
  <si>
    <t>Isabella Mora</t>
  </si>
  <si>
    <t>Gerente</t>
  </si>
  <si>
    <t>Samuel Vargas</t>
  </si>
  <si>
    <t>Mariana León</t>
  </si>
  <si>
    <t>Diseñadora</t>
  </si>
  <si>
    <t>Tomás Ríos</t>
  </si>
  <si>
    <t>Gabriela Sánchez</t>
  </si>
  <si>
    <t>Desarrolladora</t>
  </si>
  <si>
    <t>Nicolás Peña</t>
  </si>
  <si>
    <t>Ejercicio 5 – Limpieza de clientes</t>
  </si>
  <si>
    <t>Nombre (original)</t>
  </si>
  <si>
    <t>Correo (original)</t>
  </si>
  <si>
    <t>Teléfono (original)</t>
  </si>
  <si>
    <t>Nombre limpio</t>
  </si>
  <si>
    <t>Primer apellido</t>
  </si>
  <si>
    <t>Usuario</t>
  </si>
  <si>
    <t>Dominio</t>
  </si>
  <si>
    <t>Teléfono normalizado</t>
  </si>
  <si>
    <t>Duplicado</t>
  </si>
  <si>
    <t xml:space="preserve">  juan   PÉREZ gómez</t>
  </si>
  <si>
    <t>juan.perez@Gmail.com</t>
  </si>
  <si>
    <t>300-123 4567</t>
  </si>
  <si>
    <t>maría fernanda  LÓPEZ</t>
  </si>
  <si>
    <t>mfl88@hotmail.com</t>
  </si>
  <si>
    <t>(310) 555 7788</t>
  </si>
  <si>
    <t xml:space="preserve">CARLOS  andrés ruiz </t>
  </si>
  <si>
    <t>carlos.ruiz@empresa.co</t>
  </si>
  <si>
    <t>+57 315 222 3344</t>
  </si>
  <si>
    <t>ana  sofía VÉLEZ</t>
  </si>
  <si>
    <t>ANA.VELEZ@outlook.com</t>
  </si>
  <si>
    <t>3204445566</t>
  </si>
  <si>
    <t>pedro   ramírez</t>
  </si>
  <si>
    <t>pramirez@yahoo.es</t>
  </si>
  <si>
    <t>301 999-0000</t>
  </si>
  <si>
    <t>Juan Pérez Gómez</t>
  </si>
  <si>
    <t xml:space="preserve">  JUAN.PEREZ@gmail.com</t>
  </si>
  <si>
    <t>300 123 4567</t>
  </si>
  <si>
    <t>lucía   martínez   ORTIZ</t>
  </si>
  <si>
    <t>lucia_mo@gmail.com</t>
  </si>
  <si>
    <t>+573118887766</t>
  </si>
  <si>
    <t>jorge eliécer  GAITÁN</t>
  </si>
  <si>
    <t>jegaitan@empresa.co</t>
  </si>
  <si>
    <t>(312)-000-1122</t>
  </si>
  <si>
    <t>valeria  CANO</t>
  </si>
  <si>
    <t>vcano@hotmail.com</t>
  </si>
  <si>
    <t>316.777.8899</t>
  </si>
  <si>
    <t>ANA sofía vélez</t>
  </si>
  <si>
    <t xml:space="preserve">ana.velez@outlook.com </t>
  </si>
  <si>
    <t>320 444 5566</t>
  </si>
  <si>
    <t xml:space="preserve">  diego  alejandro  mesa</t>
  </si>
  <si>
    <t>dmesa@unal.edu.co</t>
  </si>
  <si>
    <t>3175550011</t>
  </si>
  <si>
    <t>paula ANDREA quintero</t>
  </si>
  <si>
    <t>pquintero@gmail.com</t>
  </si>
  <si>
    <t>+57 (300) 765 4321</t>
  </si>
  <si>
    <t>Ejercicio 6 – Rankings</t>
  </si>
  <si>
    <t>Puesto</t>
  </si>
  <si>
    <t>Venta total</t>
  </si>
  <si>
    <t>Unidades</t>
  </si>
  <si>
    <t>Festivos Colombia 2026</t>
  </si>
  <si>
    <t>Usar como rango de festivos en el ejercicio 7.</t>
  </si>
  <si>
    <t>Festivo</t>
  </si>
  <si>
    <t>Año Nuevo</t>
  </si>
  <si>
    <t>Reyes Magos</t>
  </si>
  <si>
    <t>San José</t>
  </si>
  <si>
    <t>Jueves Santo</t>
  </si>
  <si>
    <t>Viernes Santo</t>
  </si>
  <si>
    <t>Día del Trabajo</t>
  </si>
  <si>
    <t>Ascensión</t>
  </si>
  <si>
    <t>Corpus Christi</t>
  </si>
  <si>
    <t>Sagrado Corazón</t>
  </si>
  <si>
    <t>San Pedro y San Pablo</t>
  </si>
  <si>
    <t>Independencia</t>
  </si>
  <si>
    <t>Batalla de Boyacá</t>
  </si>
  <si>
    <t>Asunción de la Virgen</t>
  </si>
  <si>
    <t>Día de la Raza</t>
  </si>
  <si>
    <t>Todos los Santos</t>
  </si>
  <si>
    <t>Independencia de Cartagena</t>
  </si>
  <si>
    <t>Inmaculada Concepción</t>
  </si>
  <si>
    <t>Navidad</t>
  </si>
  <si>
    <t>Ejercicio 7 – Entregas</t>
  </si>
  <si>
    <t>Pedido</t>
  </si>
  <si>
    <t>Fecha pedido</t>
  </si>
  <si>
    <t>Plazo (días hábiles)</t>
  </si>
  <si>
    <t>Fecha entrega real</t>
  </si>
  <si>
    <t>Fecha límite</t>
  </si>
  <si>
    <t>Días hábiles reales</t>
  </si>
  <si>
    <t>Estado</t>
  </si>
  <si>
    <t>Retrasos por región</t>
  </si>
  <si>
    <t>PED-500</t>
  </si>
  <si>
    <t>Retrasados</t>
  </si>
  <si>
    <t>PED-501</t>
  </si>
  <si>
    <t>PED-502</t>
  </si>
  <si>
    <t>PED-503</t>
  </si>
  <si>
    <t>PED-504</t>
  </si>
  <si>
    <t>PED-505</t>
  </si>
  <si>
    <t>PED-506</t>
  </si>
  <si>
    <t>PED-507</t>
  </si>
  <si>
    <t>PED-508</t>
  </si>
  <si>
    <t>PED-509</t>
  </si>
  <si>
    <t>PED-510</t>
  </si>
  <si>
    <t>PED-511</t>
  </si>
  <si>
    <t>PED-512</t>
  </si>
  <si>
    <t>PED-513</t>
  </si>
  <si>
    <t>PED-514</t>
  </si>
  <si>
    <t>PED-515</t>
  </si>
  <si>
    <t>PED-516</t>
  </si>
  <si>
    <t>PED-517</t>
  </si>
  <si>
    <t>Ejercicio 9 – Panel interactivo</t>
  </si>
  <si>
    <t>Mes</t>
  </si>
  <si>
    <t>Unidades vendidas</t>
  </si>
  <si>
    <t>Transacciones</t>
  </si>
  <si>
    <t>Ticket promedio</t>
  </si>
  <si>
    <t>Producto más vendido</t>
  </si>
  <si>
    <t>Variación vs. mes anterior</t>
  </si>
  <si>
    <t>Ejercicio 10 – Crédito de libre inversión</t>
  </si>
  <si>
    <t>Monto del crédito</t>
  </si>
  <si>
    <t>Tasa efectiva anual</t>
  </si>
  <si>
    <t>Plazo (meses)</t>
  </si>
  <si>
    <t>Tasa mensual equivalente</t>
  </si>
  <si>
    <t>Cuota fija</t>
  </si>
  <si>
    <t>Escenario B: abono extra</t>
  </si>
  <si>
    <t>Escenario B: mes del abono</t>
  </si>
  <si>
    <t>Escenario B: meses ahorrados</t>
  </si>
  <si>
    <t>Escenario B: intereses ahorrados</t>
  </si>
  <si>
    <t>Saldo inicial</t>
  </si>
  <si>
    <t>Cuota</t>
  </si>
  <si>
    <t>Interés</t>
  </si>
  <si>
    <t>Abono a capital</t>
  </si>
  <si>
    <t>Saldo final</t>
  </si>
  <si>
    <t>Construye la tabla del escenario B a la derecha, desde la columna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</si>
</sst>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quot;$&quot;#,##0"/>
    <numFmt numFmtId="165" formatCode="dd/mm/yyyy"/>
    <numFmt numFmtId="166" formatCode="0.0%"/>
    <numFmt numFmtId="167" formatCode="0.0000%"/>
  </numFmts>
  <fonts count="11" x14ac:knownFonts="1">
    <font>
      <sz val="11"/>
      <color theme="1"/>
      <name val="Calibri"/>
      <family val="2"/>
      <scheme val="minor"/>
    </font>
    <font>
      <b/>
      <sz val="14"/>
      <color rgb="FF1F2937"/>
      <name val="Arial"/>
    </font>
    <font>
      <i/>
      <sz val="10"/>
      <color rgb="FF555555"/>
      <name val="Arial"/>
    </font>
    <font>
      <b/>
      <sz val="11"/>
      <name val="Arial"/>
    </font>
    <font>
      <sz val="11"/>
      <name val="Arial"/>
    </font>
    <font>
      <i/>
      <sz val="10"/>
      <name val="Arial"/>
    </font>
    <font>
      <b/>
      <sz val="11"/>
      <color rgb="FFFFFFFF"/>
      <name val="Arial"/>
    </font>
    <font>
      <sz val="10"/>
      <name val="Arial"/>
    </font>
    <font>
      <b/>
      <sz val="10"/>
      <name val="Arial"/>
    </font>
    <font>
      <sz val="11"/>
      <color theme="1"/>
      <name val="Arial"/>
    </font>
    <font>
      <sz val="11"/>
      <color rgb="FFFFFFFF"/>
      <name val="Consolas"/>
      <family val="3"/>
    </font>
  </fonts>
  <fills count="8">
    <fill>
      <patternFill patternType="none"/>
    </fill>
    <fill>
      <patternFill patternType="gray125"/>
    </fill>
    <fill>
      <patternFill patternType="solid">
        <fgColor rgb="FFFFF2CC"/>
      </patternFill>
    </fill>
    <fill>
      <patternFill patternType="solid">
        <fgColor rgb="FF1F4E78"/>
      </patternFill>
    </fill>
    <fill>
      <patternFill patternType="solid">
        <fgColor rgb="FFDDF4E4"/>
      </patternFill>
    </fill>
    <fill>
      <patternFill patternType="solid">
        <fgColor rgb="FFFFF4CC"/>
      </patternFill>
    </fill>
    <fill>
      <patternFill patternType="solid">
        <fgColor rgb="FFFDE2E1"/>
      </patternFill>
    </fill>
    <fill>
      <patternFill patternType="solid">
        <fgColor rgb="FFB45F0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9" fillId="0" borderId="0" xfId="0" applyFont="1"/>
    <xf numFmtId="0" fontId="2" fillId="0" borderId="0" xfId="0" applyFont="1"/>
    <xf numFmtId="0" fontId="3" fillId="0" borderId="0" xfId="0" applyFont="1"/>
    <xf numFmtId="0" fontId="4" fillId="2" borderId="1" xfId="0" applyFont="1" applyFill="1" applyBorder="1"/>
    <xf numFmtId="0" fontId="5" fillId="0" borderId="0" xfId="0" applyFont="1"/>
    <xf numFmtId="0" fontId="6" fillId="3" borderId="1" xfId="0" applyFont="1" applyFill="1" applyBorder="1" applyAlignment="1">
      <alignment horizontal="center" vertical="center" wrapText="1"/>
    </xf>
    <xf numFmtId="0" fontId="7" fillId="0" borderId="1" xfId="0" applyFont="1" applyBorder="1" applyAlignment="1">
      <alignment horizontal="center" vertical="top" wrapText="1"/>
    </xf>
    <xf numFmtId="0" fontId="8" fillId="0" borderId="1" xfId="0" applyFont="1" applyBorder="1" applyAlignment="1">
      <alignment horizontal="left" vertical="top" wrapText="1"/>
    </xf>
    <xf numFmtId="0" fontId="7" fillId="0" borderId="1" xfId="0" applyFont="1" applyBorder="1" applyAlignment="1">
      <alignment horizontal="left"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0" borderId="1" xfId="0" applyFont="1" applyBorder="1"/>
    <xf numFmtId="164" fontId="7" fillId="0" borderId="1" xfId="0" applyNumberFormat="1" applyFont="1" applyBorder="1"/>
    <xf numFmtId="9" fontId="7" fillId="0" borderId="1" xfId="0" applyNumberFormat="1" applyFont="1" applyBorder="1"/>
    <xf numFmtId="0" fontId="6" fillId="7" borderId="1" xfId="0" applyFont="1" applyFill="1" applyBorder="1" applyAlignment="1">
      <alignment horizontal="center" vertical="center" wrapText="1"/>
    </xf>
    <xf numFmtId="165" fontId="7" fillId="0" borderId="1" xfId="0" applyNumberFormat="1" applyFont="1" applyBorder="1"/>
    <xf numFmtId="0" fontId="7" fillId="2" borderId="1" xfId="0" applyFont="1" applyFill="1" applyBorder="1"/>
    <xf numFmtId="164" fontId="7" fillId="2" borderId="1" xfId="0" applyNumberFormat="1" applyFont="1" applyFill="1" applyBorder="1"/>
    <xf numFmtId="17" fontId="6" fillId="3" borderId="1" xfId="0" applyNumberFormat="1" applyFont="1" applyFill="1" applyBorder="1" applyAlignment="1">
      <alignment horizontal="center" vertical="center" wrapText="1"/>
    </xf>
    <xf numFmtId="0" fontId="8" fillId="0" borderId="1" xfId="0" applyFont="1" applyBorder="1"/>
    <xf numFmtId="166" fontId="7" fillId="2" borderId="1" xfId="0" applyNumberFormat="1" applyFont="1" applyFill="1" applyBorder="1"/>
    <xf numFmtId="1" fontId="7" fillId="2" borderId="1" xfId="0" applyNumberFormat="1" applyFont="1" applyFill="1" applyBorder="1"/>
    <xf numFmtId="166" fontId="7" fillId="0" borderId="1" xfId="0" applyNumberFormat="1" applyFont="1" applyBorder="1"/>
    <xf numFmtId="9" fontId="7" fillId="2" borderId="1" xfId="0" applyNumberFormat="1" applyFont="1" applyFill="1" applyBorder="1"/>
    <xf numFmtId="165" fontId="7" fillId="2" borderId="1" xfId="0" applyNumberFormat="1" applyFont="1" applyFill="1" applyBorder="1"/>
    <xf numFmtId="10" fontId="7" fillId="0" borderId="1" xfId="0" applyNumberFormat="1" applyFont="1" applyBorder="1"/>
    <xf numFmtId="1" fontId="7" fillId="0" borderId="1" xfId="0" applyNumberFormat="1" applyFont="1" applyBorder="1"/>
    <xf numFmtId="167" fontId="7" fillId="2" borderId="1" xfId="0" applyNumberFormat="1" applyFont="1" applyFill="1" applyBorder="1"/>
    <xf numFmtId="8" fontId="1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pane ySplit="5" topLeftCell="A6" activePane="bottomLeft" state="frozen"/>
      <selection pane="bottomLeft" activeCell="D6" sqref="D6"/>
    </sheetView>
  </sheetViews>
  <sheetFormatPr baseColWidth="10" defaultColWidth="9.140625" defaultRowHeight="15" x14ac:dyDescent="0.25"/>
  <cols>
    <col min="1" max="1" width="5" customWidth="1"/>
    <col min="2" max="2" width="26" customWidth="1"/>
    <col min="3" max="3" width="18" customWidth="1"/>
    <col min="4" max="4" width="26" customWidth="1"/>
    <col min="5" max="5" width="12" customWidth="1"/>
    <col min="6" max="6" width="85" customWidth="1"/>
  </cols>
  <sheetData>
    <row r="1" spans="1:6" ht="18" x14ac:dyDescent="0.25">
      <c r="A1" s="1" t="s">
        <v>0</v>
      </c>
      <c r="B1" s="2"/>
      <c r="C1" s="2"/>
      <c r="D1" s="2"/>
      <c r="E1" s="2"/>
      <c r="F1" s="2"/>
    </row>
    <row r="2" spans="1:6" x14ac:dyDescent="0.25">
      <c r="A2" s="3" t="s">
        <v>1</v>
      </c>
      <c r="B2" s="2"/>
      <c r="C2" s="2"/>
      <c r="D2" s="2"/>
      <c r="E2" s="2"/>
      <c r="F2" s="2"/>
    </row>
    <row r="3" spans="1:6" x14ac:dyDescent="0.25">
      <c r="A3" s="4" t="s">
        <v>2</v>
      </c>
      <c r="B3" s="5" t="s">
        <v>3</v>
      </c>
      <c r="C3" s="6" t="s">
        <v>4</v>
      </c>
      <c r="D3" s="2"/>
      <c r="E3" s="2"/>
      <c r="F3" s="2"/>
    </row>
    <row r="4" spans="1:6" x14ac:dyDescent="0.25">
      <c r="A4" s="2"/>
      <c r="B4" s="2"/>
      <c r="C4" s="2"/>
      <c r="D4" s="2"/>
      <c r="E4" s="2"/>
      <c r="F4" s="2"/>
    </row>
    <row r="5" spans="1:6" x14ac:dyDescent="0.25">
      <c r="A5" s="7" t="s">
        <v>5</v>
      </c>
      <c r="B5" s="7" t="s">
        <v>6</v>
      </c>
      <c r="C5" s="7" t="s">
        <v>7</v>
      </c>
      <c r="D5" s="7" t="s">
        <v>8</v>
      </c>
      <c r="E5" s="7" t="s">
        <v>9</v>
      </c>
      <c r="F5" s="7" t="s">
        <v>10</v>
      </c>
    </row>
    <row r="6" spans="1:6" ht="98.1" customHeight="1" x14ac:dyDescent="0.25">
      <c r="A6" s="8">
        <v>1</v>
      </c>
      <c r="B6" s="9" t="s">
        <v>11</v>
      </c>
      <c r="C6" s="10" t="s">
        <v>12</v>
      </c>
      <c r="D6" s="10" t="s">
        <v>13</v>
      </c>
      <c r="E6" s="11" t="s">
        <v>14</v>
      </c>
      <c r="F6" s="10" t="s">
        <v>15</v>
      </c>
    </row>
    <row r="7" spans="1:6" ht="84" customHeight="1" x14ac:dyDescent="0.25">
      <c r="A7" s="8">
        <v>2</v>
      </c>
      <c r="B7" s="9" t="s">
        <v>16</v>
      </c>
      <c r="C7" s="10" t="s">
        <v>17</v>
      </c>
      <c r="D7" s="10" t="s">
        <v>18</v>
      </c>
      <c r="E7" s="12" t="s">
        <v>19</v>
      </c>
      <c r="F7" s="10" t="s">
        <v>20</v>
      </c>
    </row>
    <row r="8" spans="1:6" ht="98.1" customHeight="1" x14ac:dyDescent="0.25">
      <c r="A8" s="8">
        <v>3</v>
      </c>
      <c r="B8" s="9" t="s">
        <v>21</v>
      </c>
      <c r="C8" s="10" t="s">
        <v>22</v>
      </c>
      <c r="D8" s="10" t="s">
        <v>23</v>
      </c>
      <c r="E8" s="13" t="s">
        <v>24</v>
      </c>
      <c r="F8" s="10" t="s">
        <v>25</v>
      </c>
    </row>
    <row r="9" spans="1:6" ht="84" customHeight="1" x14ac:dyDescent="0.25">
      <c r="A9" s="8">
        <v>4</v>
      </c>
      <c r="B9" s="9" t="s">
        <v>26</v>
      </c>
      <c r="C9" s="10" t="s">
        <v>27</v>
      </c>
      <c r="D9" s="10" t="s">
        <v>28</v>
      </c>
      <c r="E9" s="12" t="s">
        <v>19</v>
      </c>
      <c r="F9" s="10" t="s">
        <v>29</v>
      </c>
    </row>
    <row r="10" spans="1:6" ht="98.1" customHeight="1" x14ac:dyDescent="0.25">
      <c r="A10" s="8">
        <v>5</v>
      </c>
      <c r="B10" s="9" t="s">
        <v>30</v>
      </c>
      <c r="C10" s="10" t="s">
        <v>31</v>
      </c>
      <c r="D10" s="10" t="s">
        <v>32</v>
      </c>
      <c r="E10" s="13" t="s">
        <v>24</v>
      </c>
      <c r="F10" s="10" t="s">
        <v>33</v>
      </c>
    </row>
    <row r="11" spans="1:6" ht="69.95" customHeight="1" x14ac:dyDescent="0.25">
      <c r="A11" s="8">
        <v>6</v>
      </c>
      <c r="B11" s="9" t="s">
        <v>34</v>
      </c>
      <c r="C11" s="10" t="s">
        <v>35</v>
      </c>
      <c r="D11" s="10" t="s">
        <v>36</v>
      </c>
      <c r="E11" s="13" t="s">
        <v>24</v>
      </c>
      <c r="F11" s="10" t="s">
        <v>37</v>
      </c>
    </row>
    <row r="12" spans="1:6" ht="98.1" customHeight="1" x14ac:dyDescent="0.25">
      <c r="A12" s="8">
        <v>7</v>
      </c>
      <c r="B12" s="9" t="s">
        <v>38</v>
      </c>
      <c r="C12" s="10" t="s">
        <v>39</v>
      </c>
      <c r="D12" s="10" t="s">
        <v>40</v>
      </c>
      <c r="E12" s="12" t="s">
        <v>19</v>
      </c>
      <c r="F12" s="10" t="s">
        <v>41</v>
      </c>
    </row>
    <row r="13" spans="1:6" ht="98.1" customHeight="1" x14ac:dyDescent="0.25">
      <c r="A13" s="8">
        <v>8</v>
      </c>
      <c r="B13" s="9" t="s">
        <v>42</v>
      </c>
      <c r="C13" s="10" t="s">
        <v>43</v>
      </c>
      <c r="D13" s="10" t="s">
        <v>44</v>
      </c>
      <c r="E13" s="11" t="s">
        <v>14</v>
      </c>
      <c r="F13" s="10" t="s">
        <v>45</v>
      </c>
    </row>
    <row r="14" spans="1:6" ht="84" customHeight="1" x14ac:dyDescent="0.25">
      <c r="A14" s="8">
        <v>9</v>
      </c>
      <c r="B14" s="9" t="s">
        <v>46</v>
      </c>
      <c r="C14" s="10" t="s">
        <v>47</v>
      </c>
      <c r="D14" s="10" t="s">
        <v>48</v>
      </c>
      <c r="E14" s="13" t="s">
        <v>24</v>
      </c>
      <c r="F14" s="10" t="s">
        <v>49</v>
      </c>
    </row>
    <row r="15" spans="1:6" ht="98.1" customHeight="1" x14ac:dyDescent="0.25">
      <c r="A15" s="8">
        <v>10</v>
      </c>
      <c r="B15" s="9" t="s">
        <v>50</v>
      </c>
      <c r="C15" s="10" t="s">
        <v>51</v>
      </c>
      <c r="D15" s="10" t="s">
        <v>52</v>
      </c>
      <c r="E15" s="13" t="s">
        <v>24</v>
      </c>
      <c r="F15" s="10" t="s">
        <v>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workbookViewId="0">
      <selection activeCell="C33" sqref="C33"/>
    </sheetView>
  </sheetViews>
  <sheetFormatPr baseColWidth="10" defaultColWidth="9.140625" defaultRowHeight="15" x14ac:dyDescent="0.25"/>
  <cols>
    <col min="1" max="1" width="10" customWidth="1"/>
    <col min="2" max="2" width="22" customWidth="1"/>
    <col min="3" max="4" width="16" customWidth="1"/>
    <col min="5" max="5" width="9" customWidth="1"/>
    <col min="6" max="6" width="13" customWidth="1"/>
    <col min="9" max="9" width="16" customWidth="1"/>
    <col min="10" max="10" width="11" customWidth="1"/>
  </cols>
  <sheetData>
    <row r="1" spans="1:10" ht="18" x14ac:dyDescent="0.25">
      <c r="A1" s="1" t="s">
        <v>54</v>
      </c>
      <c r="B1" s="2"/>
      <c r="C1" s="2"/>
      <c r="D1" s="2"/>
      <c r="E1" s="2"/>
      <c r="F1" s="2"/>
      <c r="G1" s="2"/>
      <c r="H1" s="2"/>
      <c r="I1" s="2"/>
      <c r="J1" s="2"/>
    </row>
    <row r="2" spans="1:10" x14ac:dyDescent="0.25">
      <c r="A2" s="3" t="s">
        <v>55</v>
      </c>
      <c r="B2" s="2"/>
      <c r="C2" s="2"/>
      <c r="D2" s="2"/>
      <c r="E2" s="2"/>
      <c r="F2" s="2"/>
      <c r="G2" s="2"/>
      <c r="H2" s="2"/>
      <c r="I2" s="2"/>
      <c r="J2" s="2"/>
    </row>
    <row r="3" spans="1:10" x14ac:dyDescent="0.25">
      <c r="A3" s="2"/>
      <c r="B3" s="2"/>
      <c r="C3" s="2"/>
      <c r="D3" s="2"/>
      <c r="E3" s="2"/>
      <c r="F3" s="2"/>
      <c r="G3" s="2"/>
      <c r="H3" s="2"/>
      <c r="I3" s="2"/>
      <c r="J3" s="2"/>
    </row>
    <row r="4" spans="1:10" ht="30" x14ac:dyDescent="0.25">
      <c r="A4" s="7" t="s">
        <v>56</v>
      </c>
      <c r="B4" s="7" t="s">
        <v>57</v>
      </c>
      <c r="C4" s="7" t="s">
        <v>58</v>
      </c>
      <c r="D4" s="7" t="s">
        <v>59</v>
      </c>
      <c r="E4" s="7" t="s">
        <v>60</v>
      </c>
      <c r="F4" s="7" t="s">
        <v>61</v>
      </c>
      <c r="G4" s="2"/>
      <c r="H4" s="2"/>
      <c r="I4" s="4" t="s">
        <v>62</v>
      </c>
      <c r="J4" s="2"/>
    </row>
    <row r="5" spans="1:10" ht="30" x14ac:dyDescent="0.25">
      <c r="A5" s="14" t="s">
        <v>63</v>
      </c>
      <c r="B5" s="14" t="s">
        <v>64</v>
      </c>
      <c r="C5" s="14" t="s">
        <v>65</v>
      </c>
      <c r="D5" s="15">
        <v>185000</v>
      </c>
      <c r="E5" s="14">
        <v>34</v>
      </c>
      <c r="F5" s="14">
        <v>20</v>
      </c>
      <c r="G5" s="2"/>
      <c r="H5" s="2"/>
      <c r="I5" s="7" t="s">
        <v>58</v>
      </c>
      <c r="J5" s="7" t="s">
        <v>66</v>
      </c>
    </row>
    <row r="6" spans="1:10" x14ac:dyDescent="0.25">
      <c r="A6" s="14" t="s">
        <v>67</v>
      </c>
      <c r="B6" s="14" t="s">
        <v>68</v>
      </c>
      <c r="C6" s="14" t="s">
        <v>65</v>
      </c>
      <c r="D6" s="15">
        <v>72000</v>
      </c>
      <c r="E6" s="14">
        <v>12</v>
      </c>
      <c r="F6" s="14">
        <v>15</v>
      </c>
      <c r="G6" s="2"/>
      <c r="H6" s="2"/>
      <c r="I6" s="14" t="s">
        <v>65</v>
      </c>
      <c r="J6" s="16">
        <v>0.05</v>
      </c>
    </row>
    <row r="7" spans="1:10" x14ac:dyDescent="0.25">
      <c r="A7" s="14" t="s">
        <v>69</v>
      </c>
      <c r="B7" s="14" t="s">
        <v>70</v>
      </c>
      <c r="C7" s="14" t="s">
        <v>71</v>
      </c>
      <c r="D7" s="15">
        <v>690000</v>
      </c>
      <c r="E7" s="14">
        <v>8</v>
      </c>
      <c r="F7" s="14">
        <v>10</v>
      </c>
      <c r="G7" s="2"/>
      <c r="H7" s="2"/>
      <c r="I7" s="14" t="s">
        <v>71</v>
      </c>
      <c r="J7" s="16">
        <v>0.08</v>
      </c>
    </row>
    <row r="8" spans="1:10" x14ac:dyDescent="0.25">
      <c r="A8" s="14" t="s">
        <v>72</v>
      </c>
      <c r="B8" s="14" t="s">
        <v>73</v>
      </c>
      <c r="C8" s="14" t="s">
        <v>71</v>
      </c>
      <c r="D8" s="15">
        <v>1150000</v>
      </c>
      <c r="E8" s="14">
        <v>22</v>
      </c>
      <c r="F8" s="14">
        <v>6</v>
      </c>
      <c r="G8" s="2"/>
      <c r="H8" s="2"/>
      <c r="I8" s="14" t="s">
        <v>74</v>
      </c>
      <c r="J8" s="16">
        <v>0.1</v>
      </c>
    </row>
    <row r="9" spans="1:10" x14ac:dyDescent="0.25">
      <c r="A9" s="14" t="s">
        <v>75</v>
      </c>
      <c r="B9" s="14" t="s">
        <v>76</v>
      </c>
      <c r="C9" s="14" t="s">
        <v>74</v>
      </c>
      <c r="D9" s="15">
        <v>3200000</v>
      </c>
      <c r="E9" s="14">
        <v>5</v>
      </c>
      <c r="F9" s="14">
        <v>4</v>
      </c>
      <c r="G9" s="2"/>
      <c r="H9" s="2"/>
      <c r="I9" s="14" t="s">
        <v>77</v>
      </c>
      <c r="J9" s="16">
        <v>0</v>
      </c>
    </row>
    <row r="10" spans="1:10" x14ac:dyDescent="0.25">
      <c r="A10" s="14" t="s">
        <v>78</v>
      </c>
      <c r="B10" s="14" t="s">
        <v>79</v>
      </c>
      <c r="C10" s="14" t="s">
        <v>74</v>
      </c>
      <c r="D10" s="15">
        <v>4550000</v>
      </c>
      <c r="E10" s="14">
        <v>3</v>
      </c>
      <c r="F10" s="14">
        <v>4</v>
      </c>
      <c r="G10" s="2"/>
      <c r="H10" s="2"/>
      <c r="I10" s="14" t="s">
        <v>80</v>
      </c>
      <c r="J10" s="16">
        <v>0.03</v>
      </c>
    </row>
    <row r="11" spans="1:10" x14ac:dyDescent="0.25">
      <c r="A11" s="14" t="s">
        <v>81</v>
      </c>
      <c r="B11" s="14" t="s">
        <v>82</v>
      </c>
      <c r="C11" s="14" t="s">
        <v>77</v>
      </c>
      <c r="D11" s="15">
        <v>145000</v>
      </c>
      <c r="E11" s="14">
        <v>40</v>
      </c>
      <c r="F11" s="14">
        <v>15</v>
      </c>
      <c r="G11" s="2"/>
      <c r="H11" s="2"/>
      <c r="I11" s="14" t="s">
        <v>83</v>
      </c>
      <c r="J11" s="16">
        <v>0.12</v>
      </c>
    </row>
    <row r="12" spans="1:10" x14ac:dyDescent="0.25">
      <c r="A12" s="14" t="s">
        <v>84</v>
      </c>
      <c r="B12" s="14" t="s">
        <v>85</v>
      </c>
      <c r="C12" s="14" t="s">
        <v>77</v>
      </c>
      <c r="D12" s="15">
        <v>230000</v>
      </c>
      <c r="E12" s="14">
        <v>18</v>
      </c>
      <c r="F12" s="14">
        <v>10</v>
      </c>
      <c r="G12" s="2"/>
      <c r="H12" s="2"/>
      <c r="I12" s="2"/>
      <c r="J12" s="2"/>
    </row>
    <row r="13" spans="1:10" x14ac:dyDescent="0.25">
      <c r="A13" s="14" t="s">
        <v>86</v>
      </c>
      <c r="B13" s="14" t="s">
        <v>87</v>
      </c>
      <c r="C13" s="14" t="s">
        <v>80</v>
      </c>
      <c r="D13" s="15">
        <v>390000</v>
      </c>
      <c r="E13" s="14">
        <v>9</v>
      </c>
      <c r="F13" s="14">
        <v>12</v>
      </c>
      <c r="G13" s="2"/>
      <c r="H13" s="2"/>
      <c r="I13" s="2"/>
      <c r="J13" s="2"/>
    </row>
    <row r="14" spans="1:10" x14ac:dyDescent="0.25">
      <c r="A14" s="14" t="s">
        <v>88</v>
      </c>
      <c r="B14" s="14" t="s">
        <v>89</v>
      </c>
      <c r="C14" s="14" t="s">
        <v>80</v>
      </c>
      <c r="D14" s="15">
        <v>58000</v>
      </c>
      <c r="E14" s="14">
        <v>60</v>
      </c>
      <c r="F14" s="14">
        <v>25</v>
      </c>
      <c r="G14" s="2"/>
      <c r="H14" s="2"/>
      <c r="I14" s="2"/>
      <c r="J14" s="2"/>
    </row>
    <row r="15" spans="1:10" x14ac:dyDescent="0.25">
      <c r="A15" s="14" t="s">
        <v>90</v>
      </c>
      <c r="B15" s="14" t="s">
        <v>91</v>
      </c>
      <c r="C15" s="14" t="s">
        <v>65</v>
      </c>
      <c r="D15" s="15">
        <v>165000</v>
      </c>
      <c r="E15" s="14">
        <v>14</v>
      </c>
      <c r="F15" s="14">
        <v>10</v>
      </c>
      <c r="G15" s="2"/>
      <c r="H15" s="2"/>
      <c r="I15" s="2"/>
      <c r="J15" s="2"/>
    </row>
    <row r="16" spans="1:10" x14ac:dyDescent="0.25">
      <c r="A16" s="14" t="s">
        <v>92</v>
      </c>
      <c r="B16" s="14" t="s">
        <v>93</v>
      </c>
      <c r="C16" s="14" t="s">
        <v>83</v>
      </c>
      <c r="D16" s="15">
        <v>89000</v>
      </c>
      <c r="E16" s="14">
        <v>7</v>
      </c>
      <c r="F16" s="14">
        <v>8</v>
      </c>
      <c r="G16" s="2"/>
      <c r="H16" s="2"/>
      <c r="I16" s="2"/>
      <c r="J16"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4"/>
  <sheetViews>
    <sheetView workbookViewId="0">
      <pane ySplit="4" topLeftCell="A74" activePane="bottomLeft" state="frozen"/>
      <selection pane="bottomLeft" activeCell="G74" sqref="G74"/>
    </sheetView>
  </sheetViews>
  <sheetFormatPr baseColWidth="10" defaultColWidth="9.140625" defaultRowHeight="15" x14ac:dyDescent="0.25"/>
  <cols>
    <col min="1" max="1" width="8" customWidth="1"/>
    <col min="2" max="2" width="12" customWidth="1"/>
    <col min="3" max="3" width="17" customWidth="1"/>
    <col min="4" max="4" width="12" customWidth="1"/>
    <col min="5" max="6" width="10" customWidth="1"/>
    <col min="7" max="7" width="22" customWidth="1"/>
    <col min="8" max="9" width="16" customWidth="1"/>
  </cols>
  <sheetData>
    <row r="1" spans="1:9" ht="18" x14ac:dyDescent="0.25">
      <c r="A1" s="1" t="s">
        <v>94</v>
      </c>
      <c r="B1" s="2"/>
      <c r="C1" s="2"/>
      <c r="D1" s="2"/>
      <c r="E1" s="2"/>
      <c r="F1" s="2"/>
      <c r="G1" s="2"/>
      <c r="H1" s="2"/>
      <c r="I1" s="2"/>
    </row>
    <row r="2" spans="1:9" x14ac:dyDescent="0.25">
      <c r="A2" s="3" t="s">
        <v>95</v>
      </c>
      <c r="B2" s="2"/>
      <c r="C2" s="2"/>
      <c r="D2" s="2"/>
      <c r="E2" s="2"/>
      <c r="F2" s="2"/>
      <c r="G2" s="2"/>
      <c r="H2" s="2"/>
      <c r="I2" s="2"/>
    </row>
    <row r="3" spans="1:9" x14ac:dyDescent="0.25">
      <c r="A3" s="2"/>
      <c r="B3" s="2"/>
      <c r="C3" s="2"/>
      <c r="D3" s="2"/>
      <c r="E3" s="2"/>
      <c r="F3" s="2"/>
      <c r="G3" s="2"/>
      <c r="H3" s="2"/>
      <c r="I3" s="2"/>
    </row>
    <row r="4" spans="1:9" x14ac:dyDescent="0.25">
      <c r="A4" s="7" t="s">
        <v>96</v>
      </c>
      <c r="B4" s="7" t="s">
        <v>97</v>
      </c>
      <c r="C4" s="7" t="s">
        <v>98</v>
      </c>
      <c r="D4" s="7" t="s">
        <v>99</v>
      </c>
      <c r="E4" s="7" t="s">
        <v>56</v>
      </c>
      <c r="F4" s="7" t="s">
        <v>100</v>
      </c>
      <c r="G4" s="17" t="s">
        <v>57</v>
      </c>
      <c r="H4" s="17" t="s">
        <v>59</v>
      </c>
      <c r="I4" s="17" t="s">
        <v>101</v>
      </c>
    </row>
    <row r="5" spans="1:9" x14ac:dyDescent="0.25">
      <c r="A5" s="14" t="s">
        <v>102</v>
      </c>
      <c r="B5" s="18">
        <v>46025</v>
      </c>
      <c r="C5" s="14" t="s">
        <v>103</v>
      </c>
      <c r="D5" s="14" t="s">
        <v>104</v>
      </c>
      <c r="E5" s="14" t="s">
        <v>81</v>
      </c>
      <c r="F5" s="14">
        <v>5</v>
      </c>
      <c r="G5" s="19" t="str">
        <f>IFERROR(VLOOKUP(E5,Catálogo!$A$5:$B$16,2,FALSE),"CÓDIGO NO EXISTE")</f>
        <v>Diadema USB</v>
      </c>
      <c r="H5" s="20">
        <f>IFERROR(VLOOKUP(E5,Catálogo!$A$5:$D$16,4,FALSE),0)</f>
        <v>145000</v>
      </c>
      <c r="I5" s="20">
        <f>IFERROR(F5*H5*(1-VLOOKUP(VLOOKUP(E5,Catálogo!$A$5:$C$16,3,FALSE),Catálogo!$I$6:$J$11,2,FALSE)),0)</f>
        <v>725000</v>
      </c>
    </row>
    <row r="6" spans="1:9" x14ac:dyDescent="0.25">
      <c r="A6" s="14" t="s">
        <v>105</v>
      </c>
      <c r="B6" s="18">
        <v>46029</v>
      </c>
      <c r="C6" s="14" t="s">
        <v>106</v>
      </c>
      <c r="D6" s="14" t="s">
        <v>107</v>
      </c>
      <c r="E6" s="14" t="s">
        <v>78</v>
      </c>
      <c r="F6" s="14">
        <v>2</v>
      </c>
      <c r="G6" s="19" t="str">
        <f>IFERROR(VLOOKUP(E6,Catálogo!$A$5:$B$16,2,FALSE),"CÓDIGO NO EXISTE")</f>
        <v>Portátil 16"</v>
      </c>
      <c r="H6" s="20">
        <f>IFERROR(VLOOKUP(E6,Catálogo!$A$5:$D$16,4,FALSE),0)</f>
        <v>4550000</v>
      </c>
      <c r="I6" s="20">
        <f>IFERROR(F6*H6*(1-VLOOKUP(VLOOKUP(E6,Catálogo!$A$5:$C$16,3,FALSE),Catálogo!$I$6:$J$11,2,FALSE)),0)</f>
        <v>8190000</v>
      </c>
    </row>
    <row r="7" spans="1:9" x14ac:dyDescent="0.25">
      <c r="A7" s="14" t="s">
        <v>108</v>
      </c>
      <c r="B7" s="18">
        <v>46031</v>
      </c>
      <c r="C7" s="14" t="s">
        <v>103</v>
      </c>
      <c r="D7" s="14" t="s">
        <v>104</v>
      </c>
      <c r="E7" s="14" t="s">
        <v>88</v>
      </c>
      <c r="F7" s="14">
        <v>4</v>
      </c>
      <c r="G7" s="19" t="str">
        <f>IFERROR(VLOOKUP(E7,Catálogo!$A$5:$B$16,2,FALSE),"CÓDIGO NO EXISTE")</f>
        <v>Memoria USB 128GB</v>
      </c>
      <c r="H7" s="20">
        <f>IFERROR(VLOOKUP(E7,Catálogo!$A$5:$D$16,4,FALSE),0)</f>
        <v>58000</v>
      </c>
      <c r="I7" s="20">
        <f>IFERROR(F7*H7*(1-VLOOKUP(VLOOKUP(E7,Catálogo!$A$5:$C$16,3,FALSE),Catálogo!$I$6:$J$11,2,FALSE)),0)</f>
        <v>225040</v>
      </c>
    </row>
    <row r="8" spans="1:9" x14ac:dyDescent="0.25">
      <c r="A8" s="14" t="s">
        <v>109</v>
      </c>
      <c r="B8" s="18">
        <v>46031</v>
      </c>
      <c r="C8" s="14" t="s">
        <v>110</v>
      </c>
      <c r="D8" s="14" t="s">
        <v>107</v>
      </c>
      <c r="E8" s="14" t="s">
        <v>75</v>
      </c>
      <c r="F8" s="14">
        <v>4</v>
      </c>
      <c r="G8" s="19" t="str">
        <f>IFERROR(VLOOKUP(E8,Catálogo!$A$5:$B$16,2,FALSE),"CÓDIGO NO EXISTE")</f>
        <v>Portátil 14"</v>
      </c>
      <c r="H8" s="20">
        <f>IFERROR(VLOOKUP(E8,Catálogo!$A$5:$D$16,4,FALSE),0)</f>
        <v>3200000</v>
      </c>
      <c r="I8" s="20">
        <f>IFERROR(F8*H8*(1-VLOOKUP(VLOOKUP(E8,Catálogo!$A$5:$C$16,3,FALSE),Catálogo!$I$6:$J$11,2,FALSE)),0)</f>
        <v>11520000</v>
      </c>
    </row>
    <row r="9" spans="1:9" x14ac:dyDescent="0.25">
      <c r="A9" s="14" t="s">
        <v>111</v>
      </c>
      <c r="B9" s="18">
        <v>46034</v>
      </c>
      <c r="C9" s="14" t="s">
        <v>110</v>
      </c>
      <c r="D9" s="14" t="s">
        <v>107</v>
      </c>
      <c r="E9" s="14" t="s">
        <v>86</v>
      </c>
      <c r="F9" s="14">
        <v>5</v>
      </c>
      <c r="G9" s="19" t="str">
        <f>IFERROR(VLOOKUP(E9,Catálogo!$A$5:$B$16,2,FALSE),"CÓDIGO NO EXISTE")</f>
        <v>Disco SSD 1TB</v>
      </c>
      <c r="H9" s="20">
        <f>IFERROR(VLOOKUP(E9,Catálogo!$A$5:$D$16,4,FALSE),0)</f>
        <v>390000</v>
      </c>
      <c r="I9" s="20">
        <f>IFERROR(F9*H9*(1-VLOOKUP(VLOOKUP(E9,Catálogo!$A$5:$C$16,3,FALSE),Catálogo!$I$6:$J$11,2,FALSE)),0)</f>
        <v>1891500</v>
      </c>
    </row>
    <row r="10" spans="1:9" x14ac:dyDescent="0.25">
      <c r="A10" s="14" t="s">
        <v>112</v>
      </c>
      <c r="B10" s="18">
        <v>46036</v>
      </c>
      <c r="C10" s="14" t="s">
        <v>110</v>
      </c>
      <c r="D10" s="14" t="s">
        <v>107</v>
      </c>
      <c r="E10" s="14" t="s">
        <v>86</v>
      </c>
      <c r="F10" s="14">
        <v>1</v>
      </c>
      <c r="G10" s="19" t="str">
        <f>IFERROR(VLOOKUP(E10,Catálogo!$A$5:$B$16,2,FALSE),"CÓDIGO NO EXISTE")</f>
        <v>Disco SSD 1TB</v>
      </c>
      <c r="H10" s="20">
        <f>IFERROR(VLOOKUP(E10,Catálogo!$A$5:$D$16,4,FALSE),0)</f>
        <v>390000</v>
      </c>
      <c r="I10" s="20">
        <f>IFERROR(F10*H10*(1-VLOOKUP(VLOOKUP(E10,Catálogo!$A$5:$C$16,3,FALSE),Catálogo!$I$6:$J$11,2,FALSE)),0)</f>
        <v>378300</v>
      </c>
    </row>
    <row r="11" spans="1:9" x14ac:dyDescent="0.25">
      <c r="A11" s="14" t="s">
        <v>113</v>
      </c>
      <c r="B11" s="18">
        <v>46040</v>
      </c>
      <c r="C11" s="14" t="s">
        <v>114</v>
      </c>
      <c r="D11" s="14" t="s">
        <v>115</v>
      </c>
      <c r="E11" s="14" t="s">
        <v>63</v>
      </c>
      <c r="F11" s="14">
        <v>5</v>
      </c>
      <c r="G11" s="19" t="str">
        <f>IFERROR(VLOOKUP(E11,Catálogo!$A$5:$B$16,2,FALSE),"CÓDIGO NO EXISTE")</f>
        <v>Teclado mecánico</v>
      </c>
      <c r="H11" s="20">
        <f>IFERROR(VLOOKUP(E11,Catálogo!$A$5:$D$16,4,FALSE),0)</f>
        <v>185000</v>
      </c>
      <c r="I11" s="20">
        <f>IFERROR(F11*H11*(1-VLOOKUP(VLOOKUP(E11,Catálogo!$A$5:$C$16,3,FALSE),Catálogo!$I$6:$J$11,2,FALSE)),0)</f>
        <v>878750</v>
      </c>
    </row>
    <row r="12" spans="1:9" x14ac:dyDescent="0.25">
      <c r="A12" s="14" t="s">
        <v>116</v>
      </c>
      <c r="B12" s="18">
        <v>46041</v>
      </c>
      <c r="C12" s="14" t="s">
        <v>110</v>
      </c>
      <c r="D12" s="14" t="s">
        <v>107</v>
      </c>
      <c r="E12" s="14" t="s">
        <v>75</v>
      </c>
      <c r="F12" s="14">
        <v>4</v>
      </c>
      <c r="G12" s="19" t="str">
        <f>IFERROR(VLOOKUP(E12,Catálogo!$A$5:$B$16,2,FALSE),"CÓDIGO NO EXISTE")</f>
        <v>Portátil 14"</v>
      </c>
      <c r="H12" s="20">
        <f>IFERROR(VLOOKUP(E12,Catálogo!$A$5:$D$16,4,FALSE),0)</f>
        <v>3200000</v>
      </c>
      <c r="I12" s="20">
        <f>IFERROR(F12*H12*(1-VLOOKUP(VLOOKUP(E12,Catálogo!$A$5:$C$16,3,FALSE),Catálogo!$I$6:$J$11,2,FALSE)),0)</f>
        <v>11520000</v>
      </c>
    </row>
    <row r="13" spans="1:9" x14ac:dyDescent="0.25">
      <c r="A13" s="14" t="s">
        <v>117</v>
      </c>
      <c r="B13" s="18">
        <v>46044</v>
      </c>
      <c r="C13" s="14" t="s">
        <v>103</v>
      </c>
      <c r="D13" s="14" t="s">
        <v>104</v>
      </c>
      <c r="E13" s="14" t="s">
        <v>84</v>
      </c>
      <c r="F13" s="14">
        <v>4</v>
      </c>
      <c r="G13" s="19" t="str">
        <f>IFERROR(VLOOKUP(E13,Catálogo!$A$5:$B$16,2,FALSE),"CÓDIGO NO EXISTE")</f>
        <v>Parlantes 2.1</v>
      </c>
      <c r="H13" s="20">
        <f>IFERROR(VLOOKUP(E13,Catálogo!$A$5:$D$16,4,FALSE),0)</f>
        <v>230000</v>
      </c>
      <c r="I13" s="20">
        <f>IFERROR(F13*H13*(1-VLOOKUP(VLOOKUP(E13,Catálogo!$A$5:$C$16,3,FALSE),Catálogo!$I$6:$J$11,2,FALSE)),0)</f>
        <v>920000</v>
      </c>
    </row>
    <row r="14" spans="1:9" x14ac:dyDescent="0.25">
      <c r="A14" s="14" t="s">
        <v>118</v>
      </c>
      <c r="B14" s="18">
        <v>46045</v>
      </c>
      <c r="C14" s="14" t="s">
        <v>103</v>
      </c>
      <c r="D14" s="14" t="s">
        <v>104</v>
      </c>
      <c r="E14" s="14" t="s">
        <v>69</v>
      </c>
      <c r="F14" s="14">
        <v>2</v>
      </c>
      <c r="G14" s="19" t="str">
        <f>IFERROR(VLOOKUP(E14,Catálogo!$A$5:$B$16,2,FALSE),"CÓDIGO NO EXISTE")</f>
        <v>Monitor 24"</v>
      </c>
      <c r="H14" s="20">
        <f>IFERROR(VLOOKUP(E14,Catálogo!$A$5:$D$16,4,FALSE),0)</f>
        <v>690000</v>
      </c>
      <c r="I14" s="20">
        <f>IFERROR(F14*H14*(1-VLOOKUP(VLOOKUP(E14,Catálogo!$A$5:$C$16,3,FALSE),Catálogo!$I$6:$J$11,2,FALSE)),0)</f>
        <v>1269600</v>
      </c>
    </row>
    <row r="15" spans="1:9" x14ac:dyDescent="0.25">
      <c r="A15" s="14" t="s">
        <v>119</v>
      </c>
      <c r="B15" s="18">
        <v>46045</v>
      </c>
      <c r="C15" s="14" t="s">
        <v>103</v>
      </c>
      <c r="D15" s="14" t="s">
        <v>104</v>
      </c>
      <c r="E15" s="14" t="s">
        <v>69</v>
      </c>
      <c r="F15" s="14">
        <v>2</v>
      </c>
      <c r="G15" s="19" t="str">
        <f>IFERROR(VLOOKUP(E15,Catálogo!$A$5:$B$16,2,FALSE),"CÓDIGO NO EXISTE")</f>
        <v>Monitor 24"</v>
      </c>
      <c r="H15" s="20">
        <f>IFERROR(VLOOKUP(E15,Catálogo!$A$5:$D$16,4,FALSE),0)</f>
        <v>690000</v>
      </c>
      <c r="I15" s="20">
        <f>IFERROR(F15*H15*(1-VLOOKUP(VLOOKUP(E15,Catálogo!$A$5:$C$16,3,FALSE),Catálogo!$I$6:$J$11,2,FALSE)),0)</f>
        <v>1269600</v>
      </c>
    </row>
    <row r="16" spans="1:9" x14ac:dyDescent="0.25">
      <c r="A16" s="14" t="s">
        <v>120</v>
      </c>
      <c r="B16" s="18">
        <v>46050</v>
      </c>
      <c r="C16" s="14" t="s">
        <v>114</v>
      </c>
      <c r="D16" s="14" t="s">
        <v>115</v>
      </c>
      <c r="E16" s="14" t="s">
        <v>88</v>
      </c>
      <c r="F16" s="14">
        <v>6</v>
      </c>
      <c r="G16" s="19" t="str">
        <f>IFERROR(VLOOKUP(E16,Catálogo!$A$5:$B$16,2,FALSE),"CÓDIGO NO EXISTE")</f>
        <v>Memoria USB 128GB</v>
      </c>
      <c r="H16" s="20">
        <f>IFERROR(VLOOKUP(E16,Catálogo!$A$5:$D$16,4,FALSE),0)</f>
        <v>58000</v>
      </c>
      <c r="I16" s="20">
        <f>IFERROR(F16*H16*(1-VLOOKUP(VLOOKUP(E16,Catálogo!$A$5:$C$16,3,FALSE),Catálogo!$I$6:$J$11,2,FALSE)),0)</f>
        <v>337560</v>
      </c>
    </row>
    <row r="17" spans="1:9" x14ac:dyDescent="0.25">
      <c r="A17" s="14" t="s">
        <v>121</v>
      </c>
      <c r="B17" s="18">
        <v>46054</v>
      </c>
      <c r="C17" s="14" t="s">
        <v>114</v>
      </c>
      <c r="D17" s="14" t="s">
        <v>115</v>
      </c>
      <c r="E17" s="14" t="s">
        <v>81</v>
      </c>
      <c r="F17" s="14">
        <v>2</v>
      </c>
      <c r="G17" s="19" t="str">
        <f>IFERROR(VLOOKUP(E17,Catálogo!$A$5:$B$16,2,FALSE),"CÓDIGO NO EXISTE")</f>
        <v>Diadema USB</v>
      </c>
      <c r="H17" s="20">
        <f>IFERROR(VLOOKUP(E17,Catálogo!$A$5:$D$16,4,FALSE),0)</f>
        <v>145000</v>
      </c>
      <c r="I17" s="20">
        <f>IFERROR(F17*H17*(1-VLOOKUP(VLOOKUP(E17,Catálogo!$A$5:$C$16,3,FALSE),Catálogo!$I$6:$J$11,2,FALSE)),0)</f>
        <v>290000</v>
      </c>
    </row>
    <row r="18" spans="1:9" x14ac:dyDescent="0.25">
      <c r="A18" s="14" t="s">
        <v>122</v>
      </c>
      <c r="B18" s="18">
        <v>46055</v>
      </c>
      <c r="C18" s="14" t="s">
        <v>103</v>
      </c>
      <c r="D18" s="14" t="s">
        <v>104</v>
      </c>
      <c r="E18" s="14" t="s">
        <v>90</v>
      </c>
      <c r="F18" s="14">
        <v>6</v>
      </c>
      <c r="G18" s="19" t="str">
        <f>IFERROR(VLOOKUP(E18,Catálogo!$A$5:$B$16,2,FALSE),"CÓDIGO NO EXISTE")</f>
        <v>Cámara web HD</v>
      </c>
      <c r="H18" s="20">
        <f>IFERROR(VLOOKUP(E18,Catálogo!$A$5:$D$16,4,FALSE),0)</f>
        <v>165000</v>
      </c>
      <c r="I18" s="20">
        <f>IFERROR(F18*H18*(1-VLOOKUP(VLOOKUP(E18,Catálogo!$A$5:$C$16,3,FALSE),Catálogo!$I$6:$J$11,2,FALSE)),0)</f>
        <v>940500</v>
      </c>
    </row>
    <row r="19" spans="1:9" x14ac:dyDescent="0.25">
      <c r="A19" s="14" t="s">
        <v>123</v>
      </c>
      <c r="B19" s="18">
        <v>46056</v>
      </c>
      <c r="C19" s="14" t="s">
        <v>114</v>
      </c>
      <c r="D19" s="14" t="s">
        <v>115</v>
      </c>
      <c r="E19" s="14" t="s">
        <v>88</v>
      </c>
      <c r="F19" s="14">
        <v>6</v>
      </c>
      <c r="G19" s="19" t="str">
        <f>IFERROR(VLOOKUP(E19,Catálogo!$A$5:$B$16,2,FALSE),"CÓDIGO NO EXISTE")</f>
        <v>Memoria USB 128GB</v>
      </c>
      <c r="H19" s="20">
        <f>IFERROR(VLOOKUP(E19,Catálogo!$A$5:$D$16,4,FALSE),0)</f>
        <v>58000</v>
      </c>
      <c r="I19" s="20">
        <f>IFERROR(F19*H19*(1-VLOOKUP(VLOOKUP(E19,Catálogo!$A$5:$C$16,3,FALSE),Catálogo!$I$6:$J$11,2,FALSE)),0)</f>
        <v>337560</v>
      </c>
    </row>
    <row r="20" spans="1:9" x14ac:dyDescent="0.25">
      <c r="A20" s="14" t="s">
        <v>124</v>
      </c>
      <c r="B20" s="18">
        <v>46060</v>
      </c>
      <c r="C20" s="14" t="s">
        <v>114</v>
      </c>
      <c r="D20" s="14" t="s">
        <v>115</v>
      </c>
      <c r="E20" s="14" t="s">
        <v>67</v>
      </c>
      <c r="F20" s="14">
        <v>5</v>
      </c>
      <c r="G20" s="19" t="str">
        <f>IFERROR(VLOOKUP(E20,Catálogo!$A$5:$B$16,2,FALSE),"CÓDIGO NO EXISTE")</f>
        <v>Mouse inalámbrico</v>
      </c>
      <c r="H20" s="20">
        <f>IFERROR(VLOOKUP(E20,Catálogo!$A$5:$D$16,4,FALSE),0)</f>
        <v>72000</v>
      </c>
      <c r="I20" s="20">
        <f>IFERROR(F20*H20*(1-VLOOKUP(VLOOKUP(E20,Catálogo!$A$5:$C$16,3,FALSE),Catálogo!$I$6:$J$11,2,FALSE)),0)</f>
        <v>342000</v>
      </c>
    </row>
    <row r="21" spans="1:9" x14ac:dyDescent="0.25">
      <c r="A21" s="14" t="s">
        <v>125</v>
      </c>
      <c r="B21" s="18">
        <v>46065</v>
      </c>
      <c r="C21" s="14" t="s">
        <v>114</v>
      </c>
      <c r="D21" s="14" t="s">
        <v>115</v>
      </c>
      <c r="E21" s="14" t="s">
        <v>63</v>
      </c>
      <c r="F21" s="14">
        <v>2</v>
      </c>
      <c r="G21" s="19" t="str">
        <f>IFERROR(VLOOKUP(E21,Catálogo!$A$5:$B$16,2,FALSE),"CÓDIGO NO EXISTE")</f>
        <v>Teclado mecánico</v>
      </c>
      <c r="H21" s="20">
        <f>IFERROR(VLOOKUP(E21,Catálogo!$A$5:$D$16,4,FALSE),0)</f>
        <v>185000</v>
      </c>
      <c r="I21" s="20">
        <f>IFERROR(F21*H21*(1-VLOOKUP(VLOOKUP(E21,Catálogo!$A$5:$C$16,3,FALSE),Catálogo!$I$6:$J$11,2,FALSE)),0)</f>
        <v>351500</v>
      </c>
    </row>
    <row r="22" spans="1:9" x14ac:dyDescent="0.25">
      <c r="A22" s="14" t="s">
        <v>126</v>
      </c>
      <c r="B22" s="18">
        <v>46070</v>
      </c>
      <c r="C22" s="14" t="s">
        <v>103</v>
      </c>
      <c r="D22" s="14" t="s">
        <v>104</v>
      </c>
      <c r="E22" s="14" t="s">
        <v>67</v>
      </c>
      <c r="F22" s="14">
        <v>5</v>
      </c>
      <c r="G22" s="19" t="str">
        <f>IFERROR(VLOOKUP(E22,Catálogo!$A$5:$B$16,2,FALSE),"CÓDIGO NO EXISTE")</f>
        <v>Mouse inalámbrico</v>
      </c>
      <c r="H22" s="20">
        <f>IFERROR(VLOOKUP(E22,Catálogo!$A$5:$D$16,4,FALSE),0)</f>
        <v>72000</v>
      </c>
      <c r="I22" s="20">
        <f>IFERROR(F22*H22*(1-VLOOKUP(VLOOKUP(E22,Catálogo!$A$5:$C$16,3,FALSE),Catálogo!$I$6:$J$11,2,FALSE)),0)</f>
        <v>342000</v>
      </c>
    </row>
    <row r="23" spans="1:9" x14ac:dyDescent="0.25">
      <c r="A23" s="14" t="s">
        <v>127</v>
      </c>
      <c r="B23" s="18">
        <v>46072</v>
      </c>
      <c r="C23" s="14" t="s">
        <v>128</v>
      </c>
      <c r="D23" s="14" t="s">
        <v>129</v>
      </c>
      <c r="E23" s="14" t="s">
        <v>130</v>
      </c>
      <c r="F23" s="14">
        <v>6</v>
      </c>
      <c r="G23" s="19" t="str">
        <f>IFERROR(VLOOKUP(E23,Catálogo!$A$5:$B$16,2,FALSE),"CÓDIGO NO EXISTE")</f>
        <v>CÓDIGO NO EXISTE</v>
      </c>
      <c r="H23" s="20">
        <f>IFERROR(VLOOKUP(E23,Catálogo!$A$5:$D$16,4,FALSE),0)</f>
        <v>0</v>
      </c>
      <c r="I23" s="20">
        <f>IFERROR(F23*H23*(1-VLOOKUP(VLOOKUP(E23,Catálogo!$A$5:$C$16,3,FALSE),Catálogo!$I$6:$J$11,2,FALSE)),0)</f>
        <v>0</v>
      </c>
    </row>
    <row r="24" spans="1:9" x14ac:dyDescent="0.25">
      <c r="A24" s="14" t="s">
        <v>131</v>
      </c>
      <c r="B24" s="18">
        <v>46075</v>
      </c>
      <c r="C24" s="14" t="s">
        <v>106</v>
      </c>
      <c r="D24" s="14" t="s">
        <v>107</v>
      </c>
      <c r="E24" s="14" t="s">
        <v>69</v>
      </c>
      <c r="F24" s="14">
        <v>4</v>
      </c>
      <c r="G24" s="19" t="str">
        <f>IFERROR(VLOOKUP(E24,Catálogo!$A$5:$B$16,2,FALSE),"CÓDIGO NO EXISTE")</f>
        <v>Monitor 24"</v>
      </c>
      <c r="H24" s="20">
        <f>IFERROR(VLOOKUP(E24,Catálogo!$A$5:$D$16,4,FALSE),0)</f>
        <v>690000</v>
      </c>
      <c r="I24" s="20">
        <f>IFERROR(F24*H24*(1-VLOOKUP(VLOOKUP(E24,Catálogo!$A$5:$C$16,3,FALSE),Catálogo!$I$6:$J$11,2,FALSE)),0)</f>
        <v>2539200</v>
      </c>
    </row>
    <row r="25" spans="1:9" x14ac:dyDescent="0.25">
      <c r="A25" s="14" t="s">
        <v>132</v>
      </c>
      <c r="B25" s="18">
        <v>46075</v>
      </c>
      <c r="C25" s="14" t="s">
        <v>114</v>
      </c>
      <c r="D25" s="14" t="s">
        <v>115</v>
      </c>
      <c r="E25" s="14" t="s">
        <v>84</v>
      </c>
      <c r="F25" s="14">
        <v>3</v>
      </c>
      <c r="G25" s="19" t="str">
        <f>IFERROR(VLOOKUP(E25,Catálogo!$A$5:$B$16,2,FALSE),"CÓDIGO NO EXISTE")</f>
        <v>Parlantes 2.1</v>
      </c>
      <c r="H25" s="20">
        <f>IFERROR(VLOOKUP(E25,Catálogo!$A$5:$D$16,4,FALSE),0)</f>
        <v>230000</v>
      </c>
      <c r="I25" s="20">
        <f>IFERROR(F25*H25*(1-VLOOKUP(VLOOKUP(E25,Catálogo!$A$5:$C$16,3,FALSE),Catálogo!$I$6:$J$11,2,FALSE)),0)</f>
        <v>690000</v>
      </c>
    </row>
    <row r="26" spans="1:9" x14ac:dyDescent="0.25">
      <c r="A26" s="14" t="s">
        <v>133</v>
      </c>
      <c r="B26" s="18">
        <v>46076</v>
      </c>
      <c r="C26" s="14" t="s">
        <v>106</v>
      </c>
      <c r="D26" s="14" t="s">
        <v>107</v>
      </c>
      <c r="E26" s="14" t="s">
        <v>90</v>
      </c>
      <c r="F26" s="14">
        <v>5</v>
      </c>
      <c r="G26" s="19" t="str">
        <f>IFERROR(VLOOKUP(E26,Catálogo!$A$5:$B$16,2,FALSE),"CÓDIGO NO EXISTE")</f>
        <v>Cámara web HD</v>
      </c>
      <c r="H26" s="20">
        <f>IFERROR(VLOOKUP(E26,Catálogo!$A$5:$D$16,4,FALSE),0)</f>
        <v>165000</v>
      </c>
      <c r="I26" s="20">
        <f>IFERROR(F26*H26*(1-VLOOKUP(VLOOKUP(E26,Catálogo!$A$5:$C$16,3,FALSE),Catálogo!$I$6:$J$11,2,FALSE)),0)</f>
        <v>783750</v>
      </c>
    </row>
    <row r="27" spans="1:9" x14ac:dyDescent="0.25">
      <c r="A27" s="14" t="s">
        <v>134</v>
      </c>
      <c r="B27" s="18">
        <v>46077</v>
      </c>
      <c r="C27" s="14" t="s">
        <v>114</v>
      </c>
      <c r="D27" s="14" t="s">
        <v>115</v>
      </c>
      <c r="E27" s="14" t="s">
        <v>81</v>
      </c>
      <c r="F27" s="14">
        <v>2</v>
      </c>
      <c r="G27" s="19" t="str">
        <f>IFERROR(VLOOKUP(E27,Catálogo!$A$5:$B$16,2,FALSE),"CÓDIGO NO EXISTE")</f>
        <v>Diadema USB</v>
      </c>
      <c r="H27" s="20">
        <f>IFERROR(VLOOKUP(E27,Catálogo!$A$5:$D$16,4,FALSE),0)</f>
        <v>145000</v>
      </c>
      <c r="I27" s="20">
        <f>IFERROR(F27*H27*(1-VLOOKUP(VLOOKUP(E27,Catálogo!$A$5:$C$16,3,FALSE),Catálogo!$I$6:$J$11,2,FALSE)),0)</f>
        <v>290000</v>
      </c>
    </row>
    <row r="28" spans="1:9" x14ac:dyDescent="0.25">
      <c r="A28" s="14" t="s">
        <v>135</v>
      </c>
      <c r="B28" s="18">
        <v>46078</v>
      </c>
      <c r="C28" s="14" t="s">
        <v>110</v>
      </c>
      <c r="D28" s="14" t="s">
        <v>107</v>
      </c>
      <c r="E28" s="14" t="s">
        <v>67</v>
      </c>
      <c r="F28" s="14">
        <v>4</v>
      </c>
      <c r="G28" s="19" t="str">
        <f>IFERROR(VLOOKUP(E28,Catálogo!$A$5:$B$16,2,FALSE),"CÓDIGO NO EXISTE")</f>
        <v>Mouse inalámbrico</v>
      </c>
      <c r="H28" s="20">
        <f>IFERROR(VLOOKUP(E28,Catálogo!$A$5:$D$16,4,FALSE),0)</f>
        <v>72000</v>
      </c>
      <c r="I28" s="20">
        <f>IFERROR(F28*H28*(1-VLOOKUP(VLOOKUP(E28,Catálogo!$A$5:$C$16,3,FALSE),Catálogo!$I$6:$J$11,2,FALSE)),0)</f>
        <v>273600</v>
      </c>
    </row>
    <row r="29" spans="1:9" x14ac:dyDescent="0.25">
      <c r="A29" s="14" t="s">
        <v>136</v>
      </c>
      <c r="B29" s="18">
        <v>46079</v>
      </c>
      <c r="C29" s="14" t="s">
        <v>128</v>
      </c>
      <c r="D29" s="14" t="s">
        <v>129</v>
      </c>
      <c r="E29" s="14" t="s">
        <v>69</v>
      </c>
      <c r="F29" s="14">
        <v>6</v>
      </c>
      <c r="G29" s="19" t="str">
        <f>IFERROR(VLOOKUP(E29,Catálogo!$A$5:$B$16,2,FALSE),"CÓDIGO NO EXISTE")</f>
        <v>Monitor 24"</v>
      </c>
      <c r="H29" s="20">
        <f>IFERROR(VLOOKUP(E29,Catálogo!$A$5:$D$16,4,FALSE),0)</f>
        <v>690000</v>
      </c>
      <c r="I29" s="20">
        <f>IFERROR(F29*H29*(1-VLOOKUP(VLOOKUP(E29,Catálogo!$A$5:$C$16,3,FALSE),Catálogo!$I$6:$J$11,2,FALSE)),0)</f>
        <v>3808800</v>
      </c>
    </row>
    <row r="30" spans="1:9" x14ac:dyDescent="0.25">
      <c r="A30" s="14" t="s">
        <v>137</v>
      </c>
      <c r="B30" s="18">
        <v>46081</v>
      </c>
      <c r="C30" s="14" t="s">
        <v>114</v>
      </c>
      <c r="D30" s="14" t="s">
        <v>115</v>
      </c>
      <c r="E30" s="14" t="s">
        <v>86</v>
      </c>
      <c r="F30" s="14">
        <v>5</v>
      </c>
      <c r="G30" s="19" t="str">
        <f>IFERROR(VLOOKUP(E30,Catálogo!$A$5:$B$16,2,FALSE),"CÓDIGO NO EXISTE")</f>
        <v>Disco SSD 1TB</v>
      </c>
      <c r="H30" s="20">
        <f>IFERROR(VLOOKUP(E30,Catálogo!$A$5:$D$16,4,FALSE),0)</f>
        <v>390000</v>
      </c>
      <c r="I30" s="20">
        <f>IFERROR(F30*H30*(1-VLOOKUP(VLOOKUP(E30,Catálogo!$A$5:$C$16,3,FALSE),Catálogo!$I$6:$J$11,2,FALSE)),0)</f>
        <v>1891500</v>
      </c>
    </row>
    <row r="31" spans="1:9" x14ac:dyDescent="0.25">
      <c r="A31" s="14" t="s">
        <v>138</v>
      </c>
      <c r="B31" s="18">
        <v>46082</v>
      </c>
      <c r="C31" s="14" t="s">
        <v>106</v>
      </c>
      <c r="D31" s="14" t="s">
        <v>107</v>
      </c>
      <c r="E31" s="14" t="s">
        <v>139</v>
      </c>
      <c r="F31" s="14">
        <v>2</v>
      </c>
      <c r="G31" s="19" t="str">
        <f>IFERROR(VLOOKUP(E31,Catálogo!$A$5:$B$16,2,FALSE),"CÓDIGO NO EXISTE")</f>
        <v>CÓDIGO NO EXISTE</v>
      </c>
      <c r="H31" s="20">
        <f>IFERROR(VLOOKUP(E31,Catálogo!$A$5:$D$16,4,FALSE),0)</f>
        <v>0</v>
      </c>
      <c r="I31" s="20">
        <f>IFERROR(F31*H31*(1-VLOOKUP(VLOOKUP(E31,Catálogo!$A$5:$C$16,3,FALSE),Catálogo!$I$6:$J$11,2,FALSE)),0)</f>
        <v>0</v>
      </c>
    </row>
    <row r="32" spans="1:9" x14ac:dyDescent="0.25">
      <c r="A32" s="14" t="s">
        <v>140</v>
      </c>
      <c r="B32" s="18">
        <v>46085</v>
      </c>
      <c r="C32" s="14" t="s">
        <v>106</v>
      </c>
      <c r="D32" s="14" t="s">
        <v>107</v>
      </c>
      <c r="E32" s="14" t="s">
        <v>92</v>
      </c>
      <c r="F32" s="14">
        <v>2</v>
      </c>
      <c r="G32" s="19" t="str">
        <f>IFERROR(VLOOKUP(E32,Catálogo!$A$5:$B$16,2,FALSE),"CÓDIGO NO EXISTE")</f>
        <v>Base refrigerante</v>
      </c>
      <c r="H32" s="20">
        <f>IFERROR(VLOOKUP(E32,Catálogo!$A$5:$D$16,4,FALSE),0)</f>
        <v>89000</v>
      </c>
      <c r="I32" s="20">
        <f>IFERROR(F32*H32*(1-VLOOKUP(VLOOKUP(E32,Catálogo!$A$5:$C$16,3,FALSE),Catálogo!$I$6:$J$11,2,FALSE)),0)</f>
        <v>156640</v>
      </c>
    </row>
    <row r="33" spans="1:9" x14ac:dyDescent="0.25">
      <c r="A33" s="14" t="s">
        <v>141</v>
      </c>
      <c r="B33" s="18">
        <v>46087</v>
      </c>
      <c r="C33" s="14"/>
      <c r="D33" s="14" t="s">
        <v>107</v>
      </c>
      <c r="E33" s="14" t="s">
        <v>81</v>
      </c>
      <c r="F33" s="14">
        <v>4</v>
      </c>
      <c r="G33" s="19" t="str">
        <f>IFERROR(VLOOKUP(E33,Catálogo!$A$5:$B$16,2,FALSE),"CÓDIGO NO EXISTE")</f>
        <v>Diadema USB</v>
      </c>
      <c r="H33" s="20">
        <f>IFERROR(VLOOKUP(E33,Catálogo!$A$5:$D$16,4,FALSE),0)</f>
        <v>145000</v>
      </c>
      <c r="I33" s="20">
        <f>IFERROR(F33*H33*(1-VLOOKUP(VLOOKUP(E33,Catálogo!$A$5:$C$16,3,FALSE),Catálogo!$I$6:$J$11,2,FALSE)),0)</f>
        <v>580000</v>
      </c>
    </row>
    <row r="34" spans="1:9" x14ac:dyDescent="0.25">
      <c r="A34" s="14" t="s">
        <v>142</v>
      </c>
      <c r="B34" s="18">
        <v>46090</v>
      </c>
      <c r="C34" s="14" t="s">
        <v>103</v>
      </c>
      <c r="D34" s="14" t="s">
        <v>104</v>
      </c>
      <c r="E34" s="14" t="s">
        <v>92</v>
      </c>
      <c r="F34" s="14">
        <v>5</v>
      </c>
      <c r="G34" s="19" t="str">
        <f>IFERROR(VLOOKUP(E34,Catálogo!$A$5:$B$16,2,FALSE),"CÓDIGO NO EXISTE")</f>
        <v>Base refrigerante</v>
      </c>
      <c r="H34" s="20">
        <f>IFERROR(VLOOKUP(E34,Catálogo!$A$5:$D$16,4,FALSE),0)</f>
        <v>89000</v>
      </c>
      <c r="I34" s="20">
        <f>IFERROR(F34*H34*(1-VLOOKUP(VLOOKUP(E34,Catálogo!$A$5:$C$16,3,FALSE),Catálogo!$I$6:$J$11,2,FALSE)),0)</f>
        <v>391600</v>
      </c>
    </row>
    <row r="35" spans="1:9" x14ac:dyDescent="0.25">
      <c r="A35" s="14" t="s">
        <v>143</v>
      </c>
      <c r="B35" s="18">
        <v>46096</v>
      </c>
      <c r="C35" s="14" t="s">
        <v>106</v>
      </c>
      <c r="D35" s="14" t="s">
        <v>107</v>
      </c>
      <c r="E35" s="14" t="s">
        <v>90</v>
      </c>
      <c r="F35" s="14">
        <v>3</v>
      </c>
      <c r="G35" s="19" t="str">
        <f>IFERROR(VLOOKUP(E35,Catálogo!$A$5:$B$16,2,FALSE),"CÓDIGO NO EXISTE")</f>
        <v>Cámara web HD</v>
      </c>
      <c r="H35" s="20">
        <f>IFERROR(VLOOKUP(E35,Catálogo!$A$5:$D$16,4,FALSE),0)</f>
        <v>165000</v>
      </c>
      <c r="I35" s="20">
        <f>IFERROR(F35*H35*(1-VLOOKUP(VLOOKUP(E35,Catálogo!$A$5:$C$16,3,FALSE),Catálogo!$I$6:$J$11,2,FALSE)),0)</f>
        <v>470250</v>
      </c>
    </row>
    <row r="36" spans="1:9" x14ac:dyDescent="0.25">
      <c r="A36" s="14" t="s">
        <v>144</v>
      </c>
      <c r="B36" s="18">
        <v>46100</v>
      </c>
      <c r="C36" s="14" t="s">
        <v>114</v>
      </c>
      <c r="D36" s="14" t="s">
        <v>115</v>
      </c>
      <c r="E36" s="14" t="s">
        <v>84</v>
      </c>
      <c r="F36" s="14">
        <v>3</v>
      </c>
      <c r="G36" s="19" t="str">
        <f>IFERROR(VLOOKUP(E36,Catálogo!$A$5:$B$16,2,FALSE),"CÓDIGO NO EXISTE")</f>
        <v>Parlantes 2.1</v>
      </c>
      <c r="H36" s="20">
        <f>IFERROR(VLOOKUP(E36,Catálogo!$A$5:$D$16,4,FALSE),0)</f>
        <v>230000</v>
      </c>
      <c r="I36" s="20">
        <f>IFERROR(F36*H36*(1-VLOOKUP(VLOOKUP(E36,Catálogo!$A$5:$C$16,3,FALSE),Catálogo!$I$6:$J$11,2,FALSE)),0)</f>
        <v>690000</v>
      </c>
    </row>
    <row r="37" spans="1:9" x14ac:dyDescent="0.25">
      <c r="A37" s="14" t="s">
        <v>145</v>
      </c>
      <c r="B37" s="18">
        <v>46102</v>
      </c>
      <c r="C37" s="14" t="s">
        <v>114</v>
      </c>
      <c r="D37" s="14" t="s">
        <v>115</v>
      </c>
      <c r="E37" s="14" t="s">
        <v>90</v>
      </c>
      <c r="F37" s="14">
        <v>2</v>
      </c>
      <c r="G37" s="19" t="str">
        <f>IFERROR(VLOOKUP(E37,Catálogo!$A$5:$B$16,2,FALSE),"CÓDIGO NO EXISTE")</f>
        <v>Cámara web HD</v>
      </c>
      <c r="H37" s="20">
        <f>IFERROR(VLOOKUP(E37,Catálogo!$A$5:$D$16,4,FALSE),0)</f>
        <v>165000</v>
      </c>
      <c r="I37" s="20">
        <f>IFERROR(F37*H37*(1-VLOOKUP(VLOOKUP(E37,Catálogo!$A$5:$C$16,3,FALSE),Catálogo!$I$6:$J$11,2,FALSE)),0)</f>
        <v>313500</v>
      </c>
    </row>
    <row r="38" spans="1:9" x14ac:dyDescent="0.25">
      <c r="A38" s="14" t="s">
        <v>146</v>
      </c>
      <c r="B38" s="18">
        <v>46103</v>
      </c>
      <c r="C38" s="14" t="s">
        <v>110</v>
      </c>
      <c r="D38" s="14" t="s">
        <v>107</v>
      </c>
      <c r="E38" s="14" t="s">
        <v>69</v>
      </c>
      <c r="F38" s="14">
        <v>1</v>
      </c>
      <c r="G38" s="19" t="str">
        <f>IFERROR(VLOOKUP(E38,Catálogo!$A$5:$B$16,2,FALSE),"CÓDIGO NO EXISTE")</f>
        <v>Monitor 24"</v>
      </c>
      <c r="H38" s="20">
        <f>IFERROR(VLOOKUP(E38,Catálogo!$A$5:$D$16,4,FALSE),0)</f>
        <v>690000</v>
      </c>
      <c r="I38" s="20">
        <f>IFERROR(F38*H38*(1-VLOOKUP(VLOOKUP(E38,Catálogo!$A$5:$C$16,3,FALSE),Catálogo!$I$6:$J$11,2,FALSE)),0)</f>
        <v>634800</v>
      </c>
    </row>
    <row r="39" spans="1:9" x14ac:dyDescent="0.25">
      <c r="A39" s="14" t="s">
        <v>147</v>
      </c>
      <c r="B39" s="18">
        <v>46103</v>
      </c>
      <c r="C39" s="14" t="s">
        <v>114</v>
      </c>
      <c r="D39" s="14" t="s">
        <v>115</v>
      </c>
      <c r="E39" s="14" t="s">
        <v>90</v>
      </c>
      <c r="F39" s="14">
        <v>4</v>
      </c>
      <c r="G39" s="19" t="str">
        <f>IFERROR(VLOOKUP(E39,Catálogo!$A$5:$B$16,2,FALSE),"CÓDIGO NO EXISTE")</f>
        <v>Cámara web HD</v>
      </c>
      <c r="H39" s="20">
        <f>IFERROR(VLOOKUP(E39,Catálogo!$A$5:$D$16,4,FALSE),0)</f>
        <v>165000</v>
      </c>
      <c r="I39" s="20">
        <f>IFERROR(F39*H39*(1-VLOOKUP(VLOOKUP(E39,Catálogo!$A$5:$C$16,3,FALSE),Catálogo!$I$6:$J$11,2,FALSE)),0)</f>
        <v>627000</v>
      </c>
    </row>
    <row r="40" spans="1:9" x14ac:dyDescent="0.25">
      <c r="A40" s="14" t="s">
        <v>148</v>
      </c>
      <c r="B40" s="18">
        <v>46104</v>
      </c>
      <c r="C40" s="14" t="s">
        <v>128</v>
      </c>
      <c r="D40" s="14" t="s">
        <v>129</v>
      </c>
      <c r="E40" s="14" t="s">
        <v>92</v>
      </c>
      <c r="F40" s="14">
        <v>3</v>
      </c>
      <c r="G40" s="19" t="str">
        <f>IFERROR(VLOOKUP(E40,Catálogo!$A$5:$B$16,2,FALSE),"CÓDIGO NO EXISTE")</f>
        <v>Base refrigerante</v>
      </c>
      <c r="H40" s="20">
        <f>IFERROR(VLOOKUP(E40,Catálogo!$A$5:$D$16,4,FALSE),0)</f>
        <v>89000</v>
      </c>
      <c r="I40" s="20">
        <f>IFERROR(F40*H40*(1-VLOOKUP(VLOOKUP(E40,Catálogo!$A$5:$C$16,3,FALSE),Catálogo!$I$6:$J$11,2,FALSE)),0)</f>
        <v>234960</v>
      </c>
    </row>
    <row r="41" spans="1:9" x14ac:dyDescent="0.25">
      <c r="A41" s="14" t="s">
        <v>149</v>
      </c>
      <c r="B41" s="18">
        <v>46106</v>
      </c>
      <c r="C41" s="14" t="s">
        <v>103</v>
      </c>
      <c r="D41" s="14" t="s">
        <v>104</v>
      </c>
      <c r="E41" s="14" t="s">
        <v>81</v>
      </c>
      <c r="F41" s="14">
        <v>6</v>
      </c>
      <c r="G41" s="19" t="str">
        <f>IFERROR(VLOOKUP(E41,Catálogo!$A$5:$B$16,2,FALSE),"CÓDIGO NO EXISTE")</f>
        <v>Diadema USB</v>
      </c>
      <c r="H41" s="20">
        <f>IFERROR(VLOOKUP(E41,Catálogo!$A$5:$D$16,4,FALSE),0)</f>
        <v>145000</v>
      </c>
      <c r="I41" s="20">
        <f>IFERROR(F41*H41*(1-VLOOKUP(VLOOKUP(E41,Catálogo!$A$5:$C$16,3,FALSE),Catálogo!$I$6:$J$11,2,FALSE)),0)</f>
        <v>870000</v>
      </c>
    </row>
    <row r="42" spans="1:9" x14ac:dyDescent="0.25">
      <c r="A42" s="14" t="s">
        <v>150</v>
      </c>
      <c r="B42" s="18">
        <v>46108</v>
      </c>
      <c r="C42" s="14" t="s">
        <v>103</v>
      </c>
      <c r="D42" s="14" t="s">
        <v>104</v>
      </c>
      <c r="E42" s="14" t="s">
        <v>88</v>
      </c>
      <c r="F42" s="14">
        <v>2</v>
      </c>
      <c r="G42" s="19" t="str">
        <f>IFERROR(VLOOKUP(E42,Catálogo!$A$5:$B$16,2,FALSE),"CÓDIGO NO EXISTE")</f>
        <v>Memoria USB 128GB</v>
      </c>
      <c r="H42" s="20">
        <f>IFERROR(VLOOKUP(E42,Catálogo!$A$5:$D$16,4,FALSE),0)</f>
        <v>58000</v>
      </c>
      <c r="I42" s="20">
        <f>IFERROR(F42*H42*(1-VLOOKUP(VLOOKUP(E42,Catálogo!$A$5:$C$16,3,FALSE),Catálogo!$I$6:$J$11,2,FALSE)),0)</f>
        <v>112520</v>
      </c>
    </row>
    <row r="43" spans="1:9" x14ac:dyDescent="0.25">
      <c r="A43" s="14" t="s">
        <v>151</v>
      </c>
      <c r="B43" s="18">
        <v>46111</v>
      </c>
      <c r="C43" s="14" t="s">
        <v>103</v>
      </c>
      <c r="D43" s="14" t="s">
        <v>104</v>
      </c>
      <c r="E43" s="14" t="s">
        <v>84</v>
      </c>
      <c r="F43" s="14">
        <v>4</v>
      </c>
      <c r="G43" s="19" t="str">
        <f>IFERROR(VLOOKUP(E43,Catálogo!$A$5:$B$16,2,FALSE),"CÓDIGO NO EXISTE")</f>
        <v>Parlantes 2.1</v>
      </c>
      <c r="H43" s="20">
        <f>IFERROR(VLOOKUP(E43,Catálogo!$A$5:$D$16,4,FALSE),0)</f>
        <v>230000</v>
      </c>
      <c r="I43" s="20">
        <f>IFERROR(F43*H43*(1-VLOOKUP(VLOOKUP(E43,Catálogo!$A$5:$C$16,3,FALSE),Catálogo!$I$6:$J$11,2,FALSE)),0)</f>
        <v>920000</v>
      </c>
    </row>
    <row r="44" spans="1:9" x14ac:dyDescent="0.25">
      <c r="A44" s="14" t="s">
        <v>152</v>
      </c>
      <c r="B44" s="18">
        <v>46111</v>
      </c>
      <c r="C44" s="14" t="s">
        <v>128</v>
      </c>
      <c r="D44" s="14" t="s">
        <v>129</v>
      </c>
      <c r="E44" s="14" t="s">
        <v>84</v>
      </c>
      <c r="F44" s="14">
        <v>6</v>
      </c>
      <c r="G44" s="19" t="str">
        <f>IFERROR(VLOOKUP(E44,Catálogo!$A$5:$B$16,2,FALSE),"CÓDIGO NO EXISTE")</f>
        <v>Parlantes 2.1</v>
      </c>
      <c r="H44" s="20">
        <f>IFERROR(VLOOKUP(E44,Catálogo!$A$5:$D$16,4,FALSE),0)</f>
        <v>230000</v>
      </c>
      <c r="I44" s="20">
        <f>IFERROR(F44*H44*(1-VLOOKUP(VLOOKUP(E44,Catálogo!$A$5:$C$16,3,FALSE),Catálogo!$I$6:$J$11,2,FALSE)),0)</f>
        <v>1380000</v>
      </c>
    </row>
    <row r="45" spans="1:9" x14ac:dyDescent="0.25">
      <c r="A45" s="14" t="s">
        <v>153</v>
      </c>
      <c r="B45" s="18">
        <v>46112</v>
      </c>
      <c r="C45" s="14" t="s">
        <v>106</v>
      </c>
      <c r="D45" s="14" t="s">
        <v>107</v>
      </c>
      <c r="E45" s="14" t="s">
        <v>92</v>
      </c>
      <c r="F45" s="14">
        <v>3</v>
      </c>
      <c r="G45" s="19" t="str">
        <f>IFERROR(VLOOKUP(E45,Catálogo!$A$5:$B$16,2,FALSE),"CÓDIGO NO EXISTE")</f>
        <v>Base refrigerante</v>
      </c>
      <c r="H45" s="20">
        <f>IFERROR(VLOOKUP(E45,Catálogo!$A$5:$D$16,4,FALSE),0)</f>
        <v>89000</v>
      </c>
      <c r="I45" s="20">
        <f>IFERROR(F45*H45*(1-VLOOKUP(VLOOKUP(E45,Catálogo!$A$5:$C$16,3,FALSE),Catálogo!$I$6:$J$11,2,FALSE)),0)</f>
        <v>234960</v>
      </c>
    </row>
    <row r="46" spans="1:9" x14ac:dyDescent="0.25">
      <c r="A46" s="14" t="s">
        <v>154</v>
      </c>
      <c r="B46" s="18">
        <v>46115</v>
      </c>
      <c r="C46" s="14" t="s">
        <v>106</v>
      </c>
      <c r="D46" s="14" t="s">
        <v>107</v>
      </c>
      <c r="E46" s="14" t="s">
        <v>72</v>
      </c>
      <c r="F46" s="14">
        <v>2</v>
      </c>
      <c r="G46" s="19" t="str">
        <f>IFERROR(VLOOKUP(E46,Catálogo!$A$5:$B$16,2,FALSE),"CÓDIGO NO EXISTE")</f>
        <v>Monitor 27"</v>
      </c>
      <c r="H46" s="20">
        <f>IFERROR(VLOOKUP(E46,Catálogo!$A$5:$D$16,4,FALSE),0)</f>
        <v>1150000</v>
      </c>
      <c r="I46" s="20">
        <f>IFERROR(F46*H46*(1-VLOOKUP(VLOOKUP(E46,Catálogo!$A$5:$C$16,3,FALSE),Catálogo!$I$6:$J$11,2,FALSE)),0)</f>
        <v>2116000</v>
      </c>
    </row>
    <row r="47" spans="1:9" x14ac:dyDescent="0.25">
      <c r="A47" s="14" t="s">
        <v>155</v>
      </c>
      <c r="B47" s="18">
        <v>46117</v>
      </c>
      <c r="C47" s="14" t="s">
        <v>106</v>
      </c>
      <c r="D47" s="14" t="s">
        <v>107</v>
      </c>
      <c r="E47" s="14" t="s">
        <v>67</v>
      </c>
      <c r="F47" s="14">
        <v>1</v>
      </c>
      <c r="G47" s="19" t="str">
        <f>IFERROR(VLOOKUP(E47,Catálogo!$A$5:$B$16,2,FALSE),"CÓDIGO NO EXISTE")</f>
        <v>Mouse inalámbrico</v>
      </c>
      <c r="H47" s="20">
        <f>IFERROR(VLOOKUP(E47,Catálogo!$A$5:$D$16,4,FALSE),0)</f>
        <v>72000</v>
      </c>
      <c r="I47" s="20">
        <f>IFERROR(F47*H47*(1-VLOOKUP(VLOOKUP(E47,Catálogo!$A$5:$C$16,3,FALSE),Catálogo!$I$6:$J$11,2,FALSE)),0)</f>
        <v>68400</v>
      </c>
    </row>
    <row r="48" spans="1:9" x14ac:dyDescent="0.25">
      <c r="A48" s="14" t="s">
        <v>156</v>
      </c>
      <c r="B48" s="18">
        <v>46117</v>
      </c>
      <c r="C48" s="14" t="s">
        <v>110</v>
      </c>
      <c r="D48" s="14" t="s">
        <v>107</v>
      </c>
      <c r="E48" s="14" t="s">
        <v>72</v>
      </c>
      <c r="F48" s="14">
        <v>1</v>
      </c>
      <c r="G48" s="19" t="str">
        <f>IFERROR(VLOOKUP(E48,Catálogo!$A$5:$B$16,2,FALSE),"CÓDIGO NO EXISTE")</f>
        <v>Monitor 27"</v>
      </c>
      <c r="H48" s="20">
        <f>IFERROR(VLOOKUP(E48,Catálogo!$A$5:$D$16,4,FALSE),0)</f>
        <v>1150000</v>
      </c>
      <c r="I48" s="20">
        <f>IFERROR(F48*H48*(1-VLOOKUP(VLOOKUP(E48,Catálogo!$A$5:$C$16,3,FALSE),Catálogo!$I$6:$J$11,2,FALSE)),0)</f>
        <v>1058000</v>
      </c>
    </row>
    <row r="49" spans="1:9" x14ac:dyDescent="0.25">
      <c r="A49" s="14" t="s">
        <v>157</v>
      </c>
      <c r="B49" s="18">
        <v>46117</v>
      </c>
      <c r="C49" s="14" t="s">
        <v>114</v>
      </c>
      <c r="D49" s="14" t="s">
        <v>115</v>
      </c>
      <c r="E49" s="14" t="s">
        <v>63</v>
      </c>
      <c r="F49" s="14">
        <v>1</v>
      </c>
      <c r="G49" s="19" t="str">
        <f>IFERROR(VLOOKUP(E49,Catálogo!$A$5:$B$16,2,FALSE),"CÓDIGO NO EXISTE")</f>
        <v>Teclado mecánico</v>
      </c>
      <c r="H49" s="20">
        <f>IFERROR(VLOOKUP(E49,Catálogo!$A$5:$D$16,4,FALSE),0)</f>
        <v>185000</v>
      </c>
      <c r="I49" s="20">
        <f>IFERROR(F49*H49*(1-VLOOKUP(VLOOKUP(E49,Catálogo!$A$5:$C$16,3,FALSE),Catálogo!$I$6:$J$11,2,FALSE)),0)</f>
        <v>175750</v>
      </c>
    </row>
    <row r="50" spans="1:9" x14ac:dyDescent="0.25">
      <c r="A50" s="14" t="s">
        <v>158</v>
      </c>
      <c r="B50" s="18">
        <v>46117</v>
      </c>
      <c r="C50" s="14" t="s">
        <v>114</v>
      </c>
      <c r="D50" s="14" t="s">
        <v>115</v>
      </c>
      <c r="E50" s="14" t="s">
        <v>63</v>
      </c>
      <c r="F50" s="14">
        <v>5</v>
      </c>
      <c r="G50" s="19" t="str">
        <f>IFERROR(VLOOKUP(E50,Catálogo!$A$5:$B$16,2,FALSE),"CÓDIGO NO EXISTE")</f>
        <v>Teclado mecánico</v>
      </c>
      <c r="H50" s="20">
        <f>IFERROR(VLOOKUP(E50,Catálogo!$A$5:$D$16,4,FALSE),0)</f>
        <v>185000</v>
      </c>
      <c r="I50" s="20">
        <f>IFERROR(F50*H50*(1-VLOOKUP(VLOOKUP(E50,Catálogo!$A$5:$C$16,3,FALSE),Catálogo!$I$6:$J$11,2,FALSE)),0)</f>
        <v>878750</v>
      </c>
    </row>
    <row r="51" spans="1:9" x14ac:dyDescent="0.25">
      <c r="A51" s="14" t="s">
        <v>159</v>
      </c>
      <c r="B51" s="18">
        <v>46118</v>
      </c>
      <c r="C51" s="14" t="s">
        <v>114</v>
      </c>
      <c r="D51" s="14" t="s">
        <v>115</v>
      </c>
      <c r="E51" s="14" t="s">
        <v>88</v>
      </c>
      <c r="F51" s="14">
        <v>3</v>
      </c>
      <c r="G51" s="19" t="str">
        <f>IFERROR(VLOOKUP(E51,Catálogo!$A$5:$B$16,2,FALSE),"CÓDIGO NO EXISTE")</f>
        <v>Memoria USB 128GB</v>
      </c>
      <c r="H51" s="20">
        <f>IFERROR(VLOOKUP(E51,Catálogo!$A$5:$D$16,4,FALSE),0)</f>
        <v>58000</v>
      </c>
      <c r="I51" s="20">
        <f>IFERROR(F51*H51*(1-VLOOKUP(VLOOKUP(E51,Catálogo!$A$5:$C$16,3,FALSE),Catálogo!$I$6:$J$11,2,FALSE)),0)</f>
        <v>168780</v>
      </c>
    </row>
    <row r="52" spans="1:9" x14ac:dyDescent="0.25">
      <c r="A52" s="14" t="s">
        <v>160</v>
      </c>
      <c r="B52" s="18">
        <v>46124</v>
      </c>
      <c r="C52" s="14" t="s">
        <v>110</v>
      </c>
      <c r="D52" s="14" t="s">
        <v>107</v>
      </c>
      <c r="E52" s="14" t="s">
        <v>84</v>
      </c>
      <c r="F52" s="14">
        <v>6</v>
      </c>
      <c r="G52" s="19" t="str">
        <f>IFERROR(VLOOKUP(E52,Catálogo!$A$5:$B$16,2,FALSE),"CÓDIGO NO EXISTE")</f>
        <v>Parlantes 2.1</v>
      </c>
      <c r="H52" s="20">
        <f>IFERROR(VLOOKUP(E52,Catálogo!$A$5:$D$16,4,FALSE),0)</f>
        <v>230000</v>
      </c>
      <c r="I52" s="20">
        <f>IFERROR(F52*H52*(1-VLOOKUP(VLOOKUP(E52,Catálogo!$A$5:$C$16,3,FALSE),Catálogo!$I$6:$J$11,2,FALSE)),0)</f>
        <v>1380000</v>
      </c>
    </row>
    <row r="53" spans="1:9" x14ac:dyDescent="0.25">
      <c r="A53" s="14" t="s">
        <v>161</v>
      </c>
      <c r="B53" s="18">
        <v>46125</v>
      </c>
      <c r="C53" s="14" t="s">
        <v>106</v>
      </c>
      <c r="D53" s="14" t="s">
        <v>107</v>
      </c>
      <c r="E53" s="14" t="s">
        <v>81</v>
      </c>
      <c r="F53" s="14">
        <v>6</v>
      </c>
      <c r="G53" s="19" t="str">
        <f>IFERROR(VLOOKUP(E53,Catálogo!$A$5:$B$16,2,FALSE),"CÓDIGO NO EXISTE")</f>
        <v>Diadema USB</v>
      </c>
      <c r="H53" s="20">
        <f>IFERROR(VLOOKUP(E53,Catálogo!$A$5:$D$16,4,FALSE),0)</f>
        <v>145000</v>
      </c>
      <c r="I53" s="20">
        <f>IFERROR(F53*H53*(1-VLOOKUP(VLOOKUP(E53,Catálogo!$A$5:$C$16,3,FALSE),Catálogo!$I$6:$J$11,2,FALSE)),0)</f>
        <v>870000</v>
      </c>
    </row>
    <row r="54" spans="1:9" x14ac:dyDescent="0.25">
      <c r="A54" s="14" t="s">
        <v>162</v>
      </c>
      <c r="B54" s="18">
        <v>46125</v>
      </c>
      <c r="C54" s="14" t="s">
        <v>110</v>
      </c>
      <c r="D54" s="14" t="s">
        <v>107</v>
      </c>
      <c r="E54" s="14" t="s">
        <v>72</v>
      </c>
      <c r="F54" s="14">
        <v>1</v>
      </c>
      <c r="G54" s="19" t="str">
        <f>IFERROR(VLOOKUP(E54,Catálogo!$A$5:$B$16,2,FALSE),"CÓDIGO NO EXISTE")</f>
        <v>Monitor 27"</v>
      </c>
      <c r="H54" s="20">
        <f>IFERROR(VLOOKUP(E54,Catálogo!$A$5:$D$16,4,FALSE),0)</f>
        <v>1150000</v>
      </c>
      <c r="I54" s="20">
        <f>IFERROR(F54*H54*(1-VLOOKUP(VLOOKUP(E54,Catálogo!$A$5:$C$16,3,FALSE),Catálogo!$I$6:$J$11,2,FALSE)),0)</f>
        <v>1058000</v>
      </c>
    </row>
    <row r="55" spans="1:9" x14ac:dyDescent="0.25">
      <c r="A55" s="14" t="s">
        <v>163</v>
      </c>
      <c r="B55" s="18">
        <v>46126</v>
      </c>
      <c r="C55" s="14" t="s">
        <v>110</v>
      </c>
      <c r="D55" s="14" t="s">
        <v>107</v>
      </c>
      <c r="E55" s="14" t="s">
        <v>164</v>
      </c>
      <c r="F55" s="14">
        <v>2</v>
      </c>
      <c r="G55" s="19" t="str">
        <f>IFERROR(VLOOKUP(E55,Catálogo!$A$5:$B$16,2,FALSE),"CÓDIGO NO EXISTE")</f>
        <v>CÓDIGO NO EXISTE</v>
      </c>
      <c r="H55" s="20">
        <f>IFERROR(VLOOKUP(E55,Catálogo!$A$5:$D$16,4,FALSE),0)</f>
        <v>0</v>
      </c>
      <c r="I55" s="20">
        <f>IFERROR(F55*H55*(1-VLOOKUP(VLOOKUP(E55,Catálogo!$A$5:$C$16,3,FALSE),Catálogo!$I$6:$J$11,2,FALSE)),0)</f>
        <v>0</v>
      </c>
    </row>
    <row r="56" spans="1:9" x14ac:dyDescent="0.25">
      <c r="A56" s="14" t="s">
        <v>165</v>
      </c>
      <c r="B56" s="18">
        <v>46131</v>
      </c>
      <c r="C56" s="14" t="s">
        <v>110</v>
      </c>
      <c r="D56" s="14" t="s">
        <v>107</v>
      </c>
      <c r="E56" s="14" t="s">
        <v>72</v>
      </c>
      <c r="F56" s="14">
        <v>1</v>
      </c>
      <c r="G56" s="19" t="str">
        <f>IFERROR(VLOOKUP(E56,Catálogo!$A$5:$B$16,2,FALSE),"CÓDIGO NO EXISTE")</f>
        <v>Monitor 27"</v>
      </c>
      <c r="H56" s="20">
        <f>IFERROR(VLOOKUP(E56,Catálogo!$A$5:$D$16,4,FALSE),0)</f>
        <v>1150000</v>
      </c>
      <c r="I56" s="20">
        <f>IFERROR(F56*H56*(1-VLOOKUP(VLOOKUP(E56,Catálogo!$A$5:$C$16,3,FALSE),Catálogo!$I$6:$J$11,2,FALSE)),0)</f>
        <v>1058000</v>
      </c>
    </row>
    <row r="57" spans="1:9" x14ac:dyDescent="0.25">
      <c r="A57" s="14" t="s">
        <v>166</v>
      </c>
      <c r="B57" s="18">
        <v>46133</v>
      </c>
      <c r="C57" s="14" t="s">
        <v>128</v>
      </c>
      <c r="D57" s="14" t="s">
        <v>129</v>
      </c>
      <c r="E57" s="14" t="s">
        <v>84</v>
      </c>
      <c r="F57" s="14">
        <v>5</v>
      </c>
      <c r="G57" s="19" t="str">
        <f>IFERROR(VLOOKUP(E57,Catálogo!$A$5:$B$16,2,FALSE),"CÓDIGO NO EXISTE")</f>
        <v>Parlantes 2.1</v>
      </c>
      <c r="H57" s="20">
        <f>IFERROR(VLOOKUP(E57,Catálogo!$A$5:$D$16,4,FALSE),0)</f>
        <v>230000</v>
      </c>
      <c r="I57" s="20">
        <f>IFERROR(F57*H57*(1-VLOOKUP(VLOOKUP(E57,Catálogo!$A$5:$C$16,3,FALSE),Catálogo!$I$6:$J$11,2,FALSE)),0)</f>
        <v>1150000</v>
      </c>
    </row>
    <row r="58" spans="1:9" x14ac:dyDescent="0.25">
      <c r="A58" s="14" t="s">
        <v>167</v>
      </c>
      <c r="B58" s="18">
        <v>46136</v>
      </c>
      <c r="C58" s="14" t="s">
        <v>103</v>
      </c>
      <c r="D58" s="14" t="s">
        <v>104</v>
      </c>
      <c r="E58" s="14" t="s">
        <v>67</v>
      </c>
      <c r="F58" s="14">
        <v>3</v>
      </c>
      <c r="G58" s="19" t="str">
        <f>IFERROR(VLOOKUP(E58,Catálogo!$A$5:$B$16,2,FALSE),"CÓDIGO NO EXISTE")</f>
        <v>Mouse inalámbrico</v>
      </c>
      <c r="H58" s="20">
        <f>IFERROR(VLOOKUP(E58,Catálogo!$A$5:$D$16,4,FALSE),0)</f>
        <v>72000</v>
      </c>
      <c r="I58" s="20">
        <f>IFERROR(F58*H58*(1-VLOOKUP(VLOOKUP(E58,Catálogo!$A$5:$C$16,3,FALSE),Catálogo!$I$6:$J$11,2,FALSE)),0)</f>
        <v>205200</v>
      </c>
    </row>
    <row r="59" spans="1:9" x14ac:dyDescent="0.25">
      <c r="A59" s="14" t="s">
        <v>168</v>
      </c>
      <c r="B59" s="18">
        <v>46138</v>
      </c>
      <c r="C59" s="14" t="s">
        <v>128</v>
      </c>
      <c r="D59" s="14" t="s">
        <v>129</v>
      </c>
      <c r="E59" s="14" t="s">
        <v>88</v>
      </c>
      <c r="F59" s="14">
        <v>1</v>
      </c>
      <c r="G59" s="19" t="str">
        <f>IFERROR(VLOOKUP(E59,Catálogo!$A$5:$B$16,2,FALSE),"CÓDIGO NO EXISTE")</f>
        <v>Memoria USB 128GB</v>
      </c>
      <c r="H59" s="20">
        <f>IFERROR(VLOOKUP(E59,Catálogo!$A$5:$D$16,4,FALSE),0)</f>
        <v>58000</v>
      </c>
      <c r="I59" s="20">
        <f>IFERROR(F59*H59*(1-VLOOKUP(VLOOKUP(E59,Catálogo!$A$5:$C$16,3,FALSE),Catálogo!$I$6:$J$11,2,FALSE)),0)</f>
        <v>56260</v>
      </c>
    </row>
    <row r="60" spans="1:9" x14ac:dyDescent="0.25">
      <c r="A60" s="14" t="s">
        <v>169</v>
      </c>
      <c r="B60" s="18">
        <v>46140</v>
      </c>
      <c r="C60" s="14" t="s">
        <v>128</v>
      </c>
      <c r="D60" s="14" t="s">
        <v>129</v>
      </c>
      <c r="E60" s="14" t="s">
        <v>75</v>
      </c>
      <c r="F60" s="14">
        <v>2</v>
      </c>
      <c r="G60" s="19" t="str">
        <f>IFERROR(VLOOKUP(E60,Catálogo!$A$5:$B$16,2,FALSE),"CÓDIGO NO EXISTE")</f>
        <v>Portátil 14"</v>
      </c>
      <c r="H60" s="20">
        <f>IFERROR(VLOOKUP(E60,Catálogo!$A$5:$D$16,4,FALSE),0)</f>
        <v>3200000</v>
      </c>
      <c r="I60" s="20">
        <f>IFERROR(F60*H60*(1-VLOOKUP(VLOOKUP(E60,Catálogo!$A$5:$C$16,3,FALSE),Catálogo!$I$6:$J$11,2,FALSE)),0)</f>
        <v>5760000</v>
      </c>
    </row>
    <row r="61" spans="1:9" x14ac:dyDescent="0.25">
      <c r="A61" s="14" t="s">
        <v>170</v>
      </c>
      <c r="B61" s="18">
        <v>46146</v>
      </c>
      <c r="C61" s="14" t="s">
        <v>128</v>
      </c>
      <c r="D61" s="14" t="s">
        <v>129</v>
      </c>
      <c r="E61" s="14" t="s">
        <v>90</v>
      </c>
      <c r="F61" s="14">
        <v>1</v>
      </c>
      <c r="G61" s="19" t="str">
        <f>IFERROR(VLOOKUP(E61,Catálogo!$A$5:$B$16,2,FALSE),"CÓDIGO NO EXISTE")</f>
        <v>Cámara web HD</v>
      </c>
      <c r="H61" s="20">
        <f>IFERROR(VLOOKUP(E61,Catálogo!$A$5:$D$16,4,FALSE),0)</f>
        <v>165000</v>
      </c>
      <c r="I61" s="20">
        <f>IFERROR(F61*H61*(1-VLOOKUP(VLOOKUP(E61,Catálogo!$A$5:$C$16,3,FALSE),Catálogo!$I$6:$J$11,2,FALSE)),0)</f>
        <v>156750</v>
      </c>
    </row>
    <row r="62" spans="1:9" x14ac:dyDescent="0.25">
      <c r="A62" s="14" t="s">
        <v>171</v>
      </c>
      <c r="B62" s="18">
        <v>46147</v>
      </c>
      <c r="C62" s="14" t="s">
        <v>114</v>
      </c>
      <c r="D62" s="14" t="s">
        <v>115</v>
      </c>
      <c r="E62" s="14" t="s">
        <v>88</v>
      </c>
      <c r="F62" s="14">
        <v>1</v>
      </c>
      <c r="G62" s="19" t="str">
        <f>IFERROR(VLOOKUP(E62,Catálogo!$A$5:$B$16,2,FALSE),"CÓDIGO NO EXISTE")</f>
        <v>Memoria USB 128GB</v>
      </c>
      <c r="H62" s="20">
        <f>IFERROR(VLOOKUP(E62,Catálogo!$A$5:$D$16,4,FALSE),0)</f>
        <v>58000</v>
      </c>
      <c r="I62" s="20">
        <f>IFERROR(F62*H62*(1-VLOOKUP(VLOOKUP(E62,Catálogo!$A$5:$C$16,3,FALSE),Catálogo!$I$6:$J$11,2,FALSE)),0)</f>
        <v>56260</v>
      </c>
    </row>
    <row r="63" spans="1:9" x14ac:dyDescent="0.25">
      <c r="A63" s="14" t="s">
        <v>172</v>
      </c>
      <c r="B63" s="18">
        <v>46148</v>
      </c>
      <c r="C63" s="14" t="s">
        <v>106</v>
      </c>
      <c r="D63" s="14" t="s">
        <v>107</v>
      </c>
      <c r="E63" s="14" t="s">
        <v>84</v>
      </c>
      <c r="F63" s="14">
        <v>4</v>
      </c>
      <c r="G63" s="19" t="str">
        <f>IFERROR(VLOOKUP(E63,Catálogo!$A$5:$B$16,2,FALSE),"CÓDIGO NO EXISTE")</f>
        <v>Parlantes 2.1</v>
      </c>
      <c r="H63" s="20">
        <f>IFERROR(VLOOKUP(E63,Catálogo!$A$5:$D$16,4,FALSE),0)</f>
        <v>230000</v>
      </c>
      <c r="I63" s="20">
        <f>IFERROR(F63*H63*(1-VLOOKUP(VLOOKUP(E63,Catálogo!$A$5:$C$16,3,FALSE),Catálogo!$I$6:$J$11,2,FALSE)),0)</f>
        <v>920000</v>
      </c>
    </row>
    <row r="64" spans="1:9" x14ac:dyDescent="0.25">
      <c r="A64" s="14" t="s">
        <v>173</v>
      </c>
      <c r="B64" s="18">
        <v>46156</v>
      </c>
      <c r="C64" s="14" t="s">
        <v>128</v>
      </c>
      <c r="D64" s="14" t="s">
        <v>129</v>
      </c>
      <c r="E64" s="14" t="s">
        <v>69</v>
      </c>
      <c r="F64" s="14">
        <v>3</v>
      </c>
      <c r="G64" s="19" t="str">
        <f>IFERROR(VLOOKUP(E64,Catálogo!$A$5:$B$16,2,FALSE),"CÓDIGO NO EXISTE")</f>
        <v>Monitor 24"</v>
      </c>
      <c r="H64" s="20">
        <f>IFERROR(VLOOKUP(E64,Catálogo!$A$5:$D$16,4,FALSE),0)</f>
        <v>690000</v>
      </c>
      <c r="I64" s="20">
        <f>IFERROR(F64*H64*(1-VLOOKUP(VLOOKUP(E64,Catálogo!$A$5:$C$16,3,FALSE),Catálogo!$I$6:$J$11,2,FALSE)),0)</f>
        <v>1904400</v>
      </c>
    </row>
    <row r="65" spans="1:9" x14ac:dyDescent="0.25">
      <c r="A65" s="14" t="s">
        <v>174</v>
      </c>
      <c r="B65" s="18">
        <v>46159</v>
      </c>
      <c r="C65" s="14" t="s">
        <v>128</v>
      </c>
      <c r="D65" s="14" t="s">
        <v>129</v>
      </c>
      <c r="E65" s="14" t="s">
        <v>69</v>
      </c>
      <c r="F65" s="14">
        <v>6</v>
      </c>
      <c r="G65" s="19" t="str">
        <f>IFERROR(VLOOKUP(E65,Catálogo!$A$5:$B$16,2,FALSE),"CÓDIGO NO EXISTE")</f>
        <v>Monitor 24"</v>
      </c>
      <c r="H65" s="20">
        <f>IFERROR(VLOOKUP(E65,Catálogo!$A$5:$D$16,4,FALSE),0)</f>
        <v>690000</v>
      </c>
      <c r="I65" s="20">
        <f>IFERROR(F65*H65*(1-VLOOKUP(VLOOKUP(E65,Catálogo!$A$5:$C$16,3,FALSE),Catálogo!$I$6:$J$11,2,FALSE)),0)</f>
        <v>3808800</v>
      </c>
    </row>
    <row r="66" spans="1:9" x14ac:dyDescent="0.25">
      <c r="A66" s="14" t="s">
        <v>175</v>
      </c>
      <c r="B66" s="18">
        <v>46163</v>
      </c>
      <c r="C66" s="14" t="s">
        <v>110</v>
      </c>
      <c r="D66" s="14" t="s">
        <v>107</v>
      </c>
      <c r="E66" s="14" t="s">
        <v>86</v>
      </c>
      <c r="F66" s="14">
        <v>3</v>
      </c>
      <c r="G66" s="19" t="str">
        <f>IFERROR(VLOOKUP(E66,Catálogo!$A$5:$B$16,2,FALSE),"CÓDIGO NO EXISTE")</f>
        <v>Disco SSD 1TB</v>
      </c>
      <c r="H66" s="20">
        <f>IFERROR(VLOOKUP(E66,Catálogo!$A$5:$D$16,4,FALSE),0)</f>
        <v>390000</v>
      </c>
      <c r="I66" s="20">
        <f>IFERROR(F66*H66*(1-VLOOKUP(VLOOKUP(E66,Catálogo!$A$5:$C$16,3,FALSE),Catálogo!$I$6:$J$11,2,FALSE)),0)</f>
        <v>1134900</v>
      </c>
    </row>
    <row r="67" spans="1:9" x14ac:dyDescent="0.25">
      <c r="A67" s="14" t="s">
        <v>176</v>
      </c>
      <c r="B67" s="18">
        <v>46164</v>
      </c>
      <c r="C67" s="14" t="s">
        <v>128</v>
      </c>
      <c r="D67" s="14" t="s">
        <v>129</v>
      </c>
      <c r="E67" s="14" t="s">
        <v>69</v>
      </c>
      <c r="F67" s="14">
        <v>4</v>
      </c>
      <c r="G67" s="19" t="str">
        <f>IFERROR(VLOOKUP(E67,Catálogo!$A$5:$B$16,2,FALSE),"CÓDIGO NO EXISTE")</f>
        <v>Monitor 24"</v>
      </c>
      <c r="H67" s="20">
        <f>IFERROR(VLOOKUP(E67,Catálogo!$A$5:$D$16,4,FALSE),0)</f>
        <v>690000</v>
      </c>
      <c r="I67" s="20">
        <f>IFERROR(F67*H67*(1-VLOOKUP(VLOOKUP(E67,Catálogo!$A$5:$C$16,3,FALSE),Catálogo!$I$6:$J$11,2,FALSE)),0)</f>
        <v>2539200</v>
      </c>
    </row>
    <row r="68" spans="1:9" x14ac:dyDescent="0.25">
      <c r="A68" s="14" t="s">
        <v>177</v>
      </c>
      <c r="B68" s="18">
        <v>46164</v>
      </c>
      <c r="C68" s="14" t="s">
        <v>128</v>
      </c>
      <c r="D68" s="14" t="s">
        <v>129</v>
      </c>
      <c r="E68" s="14" t="s">
        <v>92</v>
      </c>
      <c r="F68" s="14">
        <v>4</v>
      </c>
      <c r="G68" s="19" t="str">
        <f>IFERROR(VLOOKUP(E68,Catálogo!$A$5:$B$16,2,FALSE),"CÓDIGO NO EXISTE")</f>
        <v>Base refrigerante</v>
      </c>
      <c r="H68" s="20">
        <f>IFERROR(VLOOKUP(E68,Catálogo!$A$5:$D$16,4,FALSE),0)</f>
        <v>89000</v>
      </c>
      <c r="I68" s="20">
        <f>IFERROR(F68*H68*(1-VLOOKUP(VLOOKUP(E68,Catálogo!$A$5:$C$16,3,FALSE),Catálogo!$I$6:$J$11,2,FALSE)),0)</f>
        <v>313280</v>
      </c>
    </row>
    <row r="69" spans="1:9" x14ac:dyDescent="0.25">
      <c r="A69" s="14" t="s">
        <v>178</v>
      </c>
      <c r="B69" s="18">
        <v>46165</v>
      </c>
      <c r="C69" s="14" t="s">
        <v>106</v>
      </c>
      <c r="D69" s="14" t="s">
        <v>107</v>
      </c>
      <c r="E69" s="14" t="s">
        <v>63</v>
      </c>
      <c r="F69" s="14">
        <v>5</v>
      </c>
      <c r="G69" s="19" t="str">
        <f>IFERROR(VLOOKUP(E69,Catálogo!$A$5:$B$16,2,FALSE),"CÓDIGO NO EXISTE")</f>
        <v>Teclado mecánico</v>
      </c>
      <c r="H69" s="20">
        <f>IFERROR(VLOOKUP(E69,Catálogo!$A$5:$D$16,4,FALSE),0)</f>
        <v>185000</v>
      </c>
      <c r="I69" s="20">
        <f>IFERROR(F69*H69*(1-VLOOKUP(VLOOKUP(E69,Catálogo!$A$5:$C$16,3,FALSE),Catálogo!$I$6:$J$11,2,FALSE)),0)</f>
        <v>878750</v>
      </c>
    </row>
    <row r="70" spans="1:9" x14ac:dyDescent="0.25">
      <c r="A70" s="14" t="s">
        <v>179</v>
      </c>
      <c r="B70" s="18">
        <v>46166</v>
      </c>
      <c r="C70" s="14" t="s">
        <v>103</v>
      </c>
      <c r="D70" s="14" t="s">
        <v>104</v>
      </c>
      <c r="E70" s="14" t="s">
        <v>75</v>
      </c>
      <c r="F70" s="14">
        <v>4</v>
      </c>
      <c r="G70" s="19" t="str">
        <f>IFERROR(VLOOKUP(E70,Catálogo!$A$5:$B$16,2,FALSE),"CÓDIGO NO EXISTE")</f>
        <v>Portátil 14"</v>
      </c>
      <c r="H70" s="20">
        <f>IFERROR(VLOOKUP(E70,Catálogo!$A$5:$D$16,4,FALSE),0)</f>
        <v>3200000</v>
      </c>
      <c r="I70" s="20">
        <f>IFERROR(F70*H70*(1-VLOOKUP(VLOOKUP(E70,Catálogo!$A$5:$C$16,3,FALSE),Catálogo!$I$6:$J$11,2,FALSE)),0)</f>
        <v>11520000</v>
      </c>
    </row>
    <row r="71" spans="1:9" x14ac:dyDescent="0.25">
      <c r="A71" s="14" t="s">
        <v>180</v>
      </c>
      <c r="B71" s="18">
        <v>46167</v>
      </c>
      <c r="C71" s="14" t="s">
        <v>106</v>
      </c>
      <c r="D71" s="14" t="s">
        <v>107</v>
      </c>
      <c r="E71" s="14" t="s">
        <v>81</v>
      </c>
      <c r="F71" s="14">
        <v>4</v>
      </c>
      <c r="G71" s="19" t="str">
        <f>IFERROR(VLOOKUP(E71,Catálogo!$A$5:$B$16,2,FALSE),"CÓDIGO NO EXISTE")</f>
        <v>Diadema USB</v>
      </c>
      <c r="H71" s="20">
        <f>IFERROR(VLOOKUP(E71,Catálogo!$A$5:$D$16,4,FALSE),0)</f>
        <v>145000</v>
      </c>
      <c r="I71" s="20">
        <f>IFERROR(F71*H71*(1-VLOOKUP(VLOOKUP(E71,Catálogo!$A$5:$C$16,3,FALSE),Catálogo!$I$6:$J$11,2,FALSE)),0)</f>
        <v>580000</v>
      </c>
    </row>
    <row r="72" spans="1:9" x14ac:dyDescent="0.25">
      <c r="A72" s="14" t="s">
        <v>181</v>
      </c>
      <c r="B72" s="18">
        <v>46169</v>
      </c>
      <c r="C72" s="14" t="s">
        <v>103</v>
      </c>
      <c r="D72" s="14" t="s">
        <v>104</v>
      </c>
      <c r="E72" s="14" t="s">
        <v>86</v>
      </c>
      <c r="F72" s="14">
        <v>1</v>
      </c>
      <c r="G72" s="19" t="str">
        <f>IFERROR(VLOOKUP(E72,Catálogo!$A$5:$B$16,2,FALSE),"CÓDIGO NO EXISTE")</f>
        <v>Disco SSD 1TB</v>
      </c>
      <c r="H72" s="20">
        <f>IFERROR(VLOOKUP(E72,Catálogo!$A$5:$D$16,4,FALSE),0)</f>
        <v>390000</v>
      </c>
      <c r="I72" s="20">
        <f>IFERROR(F72*H72*(1-VLOOKUP(VLOOKUP(E72,Catálogo!$A$5:$C$16,3,FALSE),Catálogo!$I$6:$J$11,2,FALSE)),0)</f>
        <v>378300</v>
      </c>
    </row>
    <row r="73" spans="1:9" x14ac:dyDescent="0.25">
      <c r="A73" s="14" t="s">
        <v>182</v>
      </c>
      <c r="B73" s="18">
        <v>46173</v>
      </c>
      <c r="C73" s="14" t="s">
        <v>110</v>
      </c>
      <c r="D73" s="14" t="s">
        <v>107</v>
      </c>
      <c r="E73" s="14" t="s">
        <v>88</v>
      </c>
      <c r="F73" s="14">
        <v>5</v>
      </c>
      <c r="G73" s="19" t="str">
        <f>IFERROR(VLOOKUP(E73,Catálogo!$A$5:$B$16,2,FALSE),"CÓDIGO NO EXISTE")</f>
        <v>Memoria USB 128GB</v>
      </c>
      <c r="H73" s="20">
        <f>IFERROR(VLOOKUP(E73,Catálogo!$A$5:$D$16,4,FALSE),0)</f>
        <v>58000</v>
      </c>
      <c r="I73" s="20">
        <f>IFERROR(F73*H73*(1-VLOOKUP(VLOOKUP(E73,Catálogo!$A$5:$C$16,3,FALSE),Catálogo!$I$6:$J$11,2,FALSE)),0)</f>
        <v>281300</v>
      </c>
    </row>
    <row r="74" spans="1:9" x14ac:dyDescent="0.25">
      <c r="A74" s="14" t="s">
        <v>183</v>
      </c>
      <c r="B74" s="18">
        <v>46174</v>
      </c>
      <c r="C74" s="14" t="s">
        <v>103</v>
      </c>
      <c r="D74" s="14" t="s">
        <v>104</v>
      </c>
      <c r="E74" s="14" t="s">
        <v>75</v>
      </c>
      <c r="F74" s="14">
        <v>3</v>
      </c>
      <c r="G74" s="19" t="str">
        <f>IFERROR(VLOOKUP(E74,Catálogo!$A$5:$B$16,2,FALSE),"CÓDIGO NO EXISTE")</f>
        <v>Portátil 14"</v>
      </c>
      <c r="H74" s="20">
        <f>IFERROR(VLOOKUP(E74,Catálogo!$A$5:$D$16,4,FALSE),0)</f>
        <v>3200000</v>
      </c>
      <c r="I74" s="20">
        <f>IFERROR(F74*H74*(1-VLOOKUP(VLOOKUP(E74,Catálogo!$A$5:$C$16,3,FALSE),Catálogo!$I$6:$J$11,2,FALSE)),0)</f>
        <v>8640000</v>
      </c>
    </row>
    <row r="75" spans="1:9" x14ac:dyDescent="0.25">
      <c r="A75" s="14" t="s">
        <v>184</v>
      </c>
      <c r="B75" s="18">
        <v>46176</v>
      </c>
      <c r="C75" s="14" t="s">
        <v>106</v>
      </c>
      <c r="D75" s="14" t="s">
        <v>107</v>
      </c>
      <c r="E75" s="14" t="s">
        <v>88</v>
      </c>
      <c r="F75" s="14">
        <v>4</v>
      </c>
      <c r="G75" s="19" t="str">
        <f>IFERROR(VLOOKUP(E75,Catálogo!$A$5:$B$16,2,FALSE),"CÓDIGO NO EXISTE")</f>
        <v>Memoria USB 128GB</v>
      </c>
      <c r="H75" s="20">
        <f>IFERROR(VLOOKUP(E75,Catálogo!$A$5:$D$16,4,FALSE),0)</f>
        <v>58000</v>
      </c>
      <c r="I75" s="20">
        <f>IFERROR(F75*H75*(1-VLOOKUP(VLOOKUP(E75,Catálogo!$A$5:$C$16,3,FALSE),Catálogo!$I$6:$J$11,2,FALSE)),0)</f>
        <v>225040</v>
      </c>
    </row>
    <row r="76" spans="1:9" x14ac:dyDescent="0.25">
      <c r="A76" s="14" t="s">
        <v>185</v>
      </c>
      <c r="B76" s="18">
        <v>46177</v>
      </c>
      <c r="C76" s="14" t="s">
        <v>110</v>
      </c>
      <c r="D76" s="14" t="s">
        <v>107</v>
      </c>
      <c r="E76" s="14" t="s">
        <v>67</v>
      </c>
      <c r="F76" s="14">
        <v>1</v>
      </c>
      <c r="G76" s="19" t="str">
        <f>IFERROR(VLOOKUP(E76,Catálogo!$A$5:$B$16,2,FALSE),"CÓDIGO NO EXISTE")</f>
        <v>Mouse inalámbrico</v>
      </c>
      <c r="H76" s="20">
        <f>IFERROR(VLOOKUP(E76,Catálogo!$A$5:$D$16,4,FALSE),0)</f>
        <v>72000</v>
      </c>
      <c r="I76" s="20">
        <f>IFERROR(F76*H76*(1-VLOOKUP(VLOOKUP(E76,Catálogo!$A$5:$C$16,3,FALSE),Catálogo!$I$6:$J$11,2,FALSE)),0)</f>
        <v>68400</v>
      </c>
    </row>
    <row r="77" spans="1:9" x14ac:dyDescent="0.25">
      <c r="A77" s="14" t="s">
        <v>186</v>
      </c>
      <c r="B77" s="18">
        <v>46180</v>
      </c>
      <c r="C77" s="14" t="s">
        <v>110</v>
      </c>
      <c r="D77" s="14" t="s">
        <v>107</v>
      </c>
      <c r="E77" s="14" t="s">
        <v>84</v>
      </c>
      <c r="F77" s="14">
        <v>1</v>
      </c>
      <c r="G77" s="19" t="str">
        <f>IFERROR(VLOOKUP(E77,Catálogo!$A$5:$B$16,2,FALSE),"CÓDIGO NO EXISTE")</f>
        <v>Parlantes 2.1</v>
      </c>
      <c r="H77" s="20">
        <f>IFERROR(VLOOKUP(E77,Catálogo!$A$5:$D$16,4,FALSE),0)</f>
        <v>230000</v>
      </c>
      <c r="I77" s="20">
        <f>IFERROR(F77*H77*(1-VLOOKUP(VLOOKUP(E77,Catálogo!$A$5:$C$16,3,FALSE),Catálogo!$I$6:$J$11,2,FALSE)),0)</f>
        <v>230000</v>
      </c>
    </row>
    <row r="78" spans="1:9" x14ac:dyDescent="0.25">
      <c r="A78" s="14" t="s">
        <v>187</v>
      </c>
      <c r="B78" s="18">
        <v>46186</v>
      </c>
      <c r="C78" s="14" t="s">
        <v>128</v>
      </c>
      <c r="D78" s="14" t="s">
        <v>129</v>
      </c>
      <c r="E78" s="14" t="s">
        <v>67</v>
      </c>
      <c r="F78" s="14">
        <v>6</v>
      </c>
      <c r="G78" s="19" t="str">
        <f>IFERROR(VLOOKUP(E78,Catálogo!$A$5:$B$16,2,FALSE),"CÓDIGO NO EXISTE")</f>
        <v>Mouse inalámbrico</v>
      </c>
      <c r="H78" s="20">
        <f>IFERROR(VLOOKUP(E78,Catálogo!$A$5:$D$16,4,FALSE),0)</f>
        <v>72000</v>
      </c>
      <c r="I78" s="20">
        <f>IFERROR(F78*H78*(1-VLOOKUP(VLOOKUP(E78,Catálogo!$A$5:$C$16,3,FALSE),Catálogo!$I$6:$J$11,2,FALSE)),0)</f>
        <v>410400</v>
      </c>
    </row>
    <row r="79" spans="1:9" x14ac:dyDescent="0.25">
      <c r="A79" s="14" t="s">
        <v>188</v>
      </c>
      <c r="B79" s="18">
        <v>46186</v>
      </c>
      <c r="C79" s="14" t="s">
        <v>128</v>
      </c>
      <c r="D79" s="14" t="s">
        <v>129</v>
      </c>
      <c r="E79" s="14" t="s">
        <v>78</v>
      </c>
      <c r="F79" s="14">
        <v>5</v>
      </c>
      <c r="G79" s="19" t="str">
        <f>IFERROR(VLOOKUP(E79,Catálogo!$A$5:$B$16,2,FALSE),"CÓDIGO NO EXISTE")</f>
        <v>Portátil 16"</v>
      </c>
      <c r="H79" s="20">
        <f>IFERROR(VLOOKUP(E79,Catálogo!$A$5:$D$16,4,FALSE),0)</f>
        <v>4550000</v>
      </c>
      <c r="I79" s="20">
        <f>IFERROR(F79*H79*(1-VLOOKUP(VLOOKUP(E79,Catálogo!$A$5:$C$16,3,FALSE),Catálogo!$I$6:$J$11,2,FALSE)),0)</f>
        <v>20475000</v>
      </c>
    </row>
    <row r="80" spans="1:9" x14ac:dyDescent="0.25">
      <c r="A80" s="14" t="s">
        <v>189</v>
      </c>
      <c r="B80" s="18">
        <v>46188</v>
      </c>
      <c r="C80" s="14" t="s">
        <v>110</v>
      </c>
      <c r="D80" s="14" t="s">
        <v>107</v>
      </c>
      <c r="E80" s="14" t="s">
        <v>92</v>
      </c>
      <c r="F80" s="14">
        <v>3</v>
      </c>
      <c r="G80" s="19" t="str">
        <f>IFERROR(VLOOKUP(E80,Catálogo!$A$5:$B$16,2,FALSE),"CÓDIGO NO EXISTE")</f>
        <v>Base refrigerante</v>
      </c>
      <c r="H80" s="20">
        <f>IFERROR(VLOOKUP(E80,Catálogo!$A$5:$D$16,4,FALSE),0)</f>
        <v>89000</v>
      </c>
      <c r="I80" s="20">
        <f>IFERROR(F80*H80*(1-VLOOKUP(VLOOKUP(E80,Catálogo!$A$5:$C$16,3,FALSE),Catálogo!$I$6:$J$11,2,FALSE)),0)</f>
        <v>234960</v>
      </c>
    </row>
    <row r="81" spans="1:9" x14ac:dyDescent="0.25">
      <c r="A81" s="14" t="s">
        <v>190</v>
      </c>
      <c r="B81" s="18">
        <v>46192</v>
      </c>
      <c r="C81" s="14" t="s">
        <v>103</v>
      </c>
      <c r="D81" s="14" t="s">
        <v>104</v>
      </c>
      <c r="E81" s="14" t="s">
        <v>63</v>
      </c>
      <c r="F81" s="14">
        <v>4</v>
      </c>
      <c r="G81" s="19" t="str">
        <f>IFERROR(VLOOKUP(E81,Catálogo!$A$5:$B$16,2,FALSE),"CÓDIGO NO EXISTE")</f>
        <v>Teclado mecánico</v>
      </c>
      <c r="H81" s="20">
        <f>IFERROR(VLOOKUP(E81,Catálogo!$A$5:$D$16,4,FALSE),0)</f>
        <v>185000</v>
      </c>
      <c r="I81" s="20">
        <f>IFERROR(F81*H81*(1-VLOOKUP(VLOOKUP(E81,Catálogo!$A$5:$C$16,3,FALSE),Catálogo!$I$6:$J$11,2,FALSE)),0)</f>
        <v>703000</v>
      </c>
    </row>
    <row r="82" spans="1:9" x14ac:dyDescent="0.25">
      <c r="A82" s="14" t="s">
        <v>191</v>
      </c>
      <c r="B82" s="18">
        <v>46193</v>
      </c>
      <c r="C82" s="14" t="s">
        <v>110</v>
      </c>
      <c r="D82" s="14" t="s">
        <v>107</v>
      </c>
      <c r="E82" s="14" t="s">
        <v>81</v>
      </c>
      <c r="F82" s="14">
        <v>6</v>
      </c>
      <c r="G82" s="19" t="str">
        <f>IFERROR(VLOOKUP(E82,Catálogo!$A$5:$B$16,2,FALSE),"CÓDIGO NO EXISTE")</f>
        <v>Diadema USB</v>
      </c>
      <c r="H82" s="20">
        <f>IFERROR(VLOOKUP(E82,Catálogo!$A$5:$D$16,4,FALSE),0)</f>
        <v>145000</v>
      </c>
      <c r="I82" s="20">
        <f>IFERROR(F82*H82*(1-VLOOKUP(VLOOKUP(E82,Catálogo!$A$5:$C$16,3,FALSE),Catálogo!$I$6:$J$11,2,FALSE)),0)</f>
        <v>870000</v>
      </c>
    </row>
    <row r="83" spans="1:9" x14ac:dyDescent="0.25">
      <c r="A83" s="14" t="s">
        <v>192</v>
      </c>
      <c r="B83" s="18">
        <v>46197</v>
      </c>
      <c r="C83" s="14" t="s">
        <v>110</v>
      </c>
      <c r="D83" s="14" t="s">
        <v>107</v>
      </c>
      <c r="E83" s="14" t="s">
        <v>84</v>
      </c>
      <c r="F83" s="14">
        <v>6</v>
      </c>
      <c r="G83" s="19" t="str">
        <f>IFERROR(VLOOKUP(E83,Catálogo!$A$5:$B$16,2,FALSE),"CÓDIGO NO EXISTE")</f>
        <v>Parlantes 2.1</v>
      </c>
      <c r="H83" s="20">
        <f>IFERROR(VLOOKUP(E83,Catálogo!$A$5:$D$16,4,FALSE),0)</f>
        <v>230000</v>
      </c>
      <c r="I83" s="20">
        <f>IFERROR(F83*H83*(1-VLOOKUP(VLOOKUP(E83,Catálogo!$A$5:$C$16,3,FALSE),Catálogo!$I$6:$J$11,2,FALSE)),0)</f>
        <v>1380000</v>
      </c>
    </row>
    <row r="84" spans="1:9" x14ac:dyDescent="0.25">
      <c r="A84" s="14" t="s">
        <v>193</v>
      </c>
      <c r="B84" s="18">
        <v>46202</v>
      </c>
      <c r="C84" s="14" t="s">
        <v>110</v>
      </c>
      <c r="D84" s="14" t="s">
        <v>107</v>
      </c>
      <c r="E84" s="14" t="s">
        <v>63</v>
      </c>
      <c r="F84" s="14">
        <v>6</v>
      </c>
      <c r="G84" s="19" t="str">
        <f>IFERROR(VLOOKUP(E84,Catálogo!$A$5:$B$16,2,FALSE),"CÓDIGO NO EXISTE")</f>
        <v>Teclado mecánico</v>
      </c>
      <c r="H84" s="20">
        <f>IFERROR(VLOOKUP(E84,Catálogo!$A$5:$D$16,4,FALSE),0)</f>
        <v>185000</v>
      </c>
      <c r="I84" s="20">
        <f>IFERROR(F84*H84*(1-VLOOKUP(VLOOKUP(E84,Catálogo!$A$5:$C$16,3,FALSE),Catálogo!$I$6:$J$11,2,FALSE)),0)</f>
        <v>1054500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workbookViewId="0">
      <selection activeCell="B5" sqref="B5"/>
    </sheetView>
  </sheetViews>
  <sheetFormatPr baseColWidth="10" defaultColWidth="9.140625" defaultRowHeight="15" x14ac:dyDescent="0.25"/>
  <cols>
    <col min="1" max="1" width="14" customWidth="1"/>
    <col min="2" max="8" width="15" customWidth="1"/>
    <col min="9" max="9" width="12" customWidth="1"/>
  </cols>
  <sheetData>
    <row r="1" spans="1:9" ht="18" x14ac:dyDescent="0.25">
      <c r="A1" s="1" t="s">
        <v>194</v>
      </c>
      <c r="B1" s="2"/>
      <c r="C1" s="2"/>
      <c r="D1" s="2"/>
      <c r="E1" s="2"/>
      <c r="F1" s="2"/>
      <c r="G1" s="2"/>
      <c r="H1" s="2"/>
      <c r="I1" s="2"/>
    </row>
    <row r="2" spans="1:9" x14ac:dyDescent="0.25">
      <c r="A2" s="3" t="s">
        <v>195</v>
      </c>
      <c r="B2" s="2"/>
      <c r="C2" s="2"/>
      <c r="D2" s="2"/>
      <c r="E2" s="2"/>
      <c r="F2" s="2"/>
      <c r="G2" s="2"/>
      <c r="H2" s="2"/>
      <c r="I2" s="2"/>
    </row>
    <row r="3" spans="1:9" x14ac:dyDescent="0.25">
      <c r="A3" s="2"/>
      <c r="B3" s="2"/>
      <c r="C3" s="2"/>
      <c r="D3" s="2"/>
      <c r="E3" s="2"/>
      <c r="F3" s="2"/>
      <c r="G3" s="2"/>
      <c r="H3" s="2"/>
      <c r="I3" s="2"/>
    </row>
    <row r="4" spans="1:9" x14ac:dyDescent="0.25">
      <c r="A4" s="7" t="s">
        <v>99</v>
      </c>
      <c r="B4" s="21">
        <v>46023</v>
      </c>
      <c r="C4" s="21">
        <v>46054</v>
      </c>
      <c r="D4" s="21">
        <v>46082</v>
      </c>
      <c r="E4" s="21">
        <v>46113</v>
      </c>
      <c r="F4" s="21">
        <v>46143</v>
      </c>
      <c r="G4" s="21">
        <v>46174</v>
      </c>
      <c r="H4" s="7" t="s">
        <v>101</v>
      </c>
      <c r="I4" s="7" t="s">
        <v>196</v>
      </c>
    </row>
    <row r="5" spans="1:9" x14ac:dyDescent="0.25">
      <c r="A5" s="22" t="s">
        <v>107</v>
      </c>
      <c r="B5" s="20">
        <f>SUMIFS(Ventas!$I$5:$I$84,Ventas!$D$5:$D$84,$A5,Ventas!$B$5:$B$84,"&gt;="&amp;B$4,Ventas!$B$5:$B$84,"&lt;"&amp;EDATE(B$4,1))</f>
        <v>33499800</v>
      </c>
      <c r="C5" s="20">
        <f>SUMIFS(Ventas!$I$5:$I$84,Ventas!$D$5:$D$84,$A5,Ventas!$B$5:$B$84,"&gt;="&amp;C$4,Ventas!$B$5:$B$84,"&lt;"&amp;EDATE(C$4,1))</f>
        <v>3596550</v>
      </c>
      <c r="D5" s="20">
        <f>SUMIFS(Ventas!$I$5:$I$84,Ventas!$D$5:$D$84,$A5,Ventas!$B$5:$B$84,"&gt;="&amp;D$4,Ventas!$B$5:$B$84,"&lt;"&amp;EDATE(D$4,1))</f>
        <v>2076650</v>
      </c>
      <c r="E5" s="20">
        <f>SUMIFS(Ventas!$I$5:$I$84,Ventas!$D$5:$D$84,$A5,Ventas!$B$5:$B$84,"&gt;="&amp;E$4,Ventas!$B$5:$B$84,"&lt;"&amp;EDATE(E$4,1))</f>
        <v>7608400</v>
      </c>
      <c r="F5" s="20">
        <f>SUMIFS(Ventas!$I$5:$I$84,Ventas!$D$5:$D$84,$A5,Ventas!$B$5:$B$84,"&gt;="&amp;F$4,Ventas!$B$5:$B$84,"&lt;"&amp;EDATE(F$4,1))</f>
        <v>3794950</v>
      </c>
      <c r="G5" s="20">
        <f>SUMIFS(Ventas!$I$5:$I$84,Ventas!$D$5:$D$84,$A5,Ventas!$B$5:$B$84,"&gt;="&amp;G$4,Ventas!$B$5:$B$84,"&lt;"&amp;EDATE(G$4,1))</f>
        <v>4062900</v>
      </c>
      <c r="H5" s="20">
        <f>SUM(B5:G5)</f>
        <v>54639250</v>
      </c>
      <c r="I5" s="23">
        <f>H5/$H$9</f>
        <v>0.40657722093065046</v>
      </c>
    </row>
    <row r="6" spans="1:9" x14ac:dyDescent="0.25">
      <c r="A6" s="22" t="s">
        <v>104</v>
      </c>
      <c r="B6" s="20">
        <f>SUMIFS(Ventas!$I$5:$I$84,Ventas!$D$5:$D$84,$A6,Ventas!$B$5:$B$84,"&gt;="&amp;B$4,Ventas!$B$5:$B$84,"&lt;"&amp;EDATE(B$4,1))</f>
        <v>4409240</v>
      </c>
      <c r="C6" s="20">
        <f>SUMIFS(Ventas!$I$5:$I$84,Ventas!$D$5:$D$84,$A6,Ventas!$B$5:$B$84,"&gt;="&amp;C$4,Ventas!$B$5:$B$84,"&lt;"&amp;EDATE(C$4,1))</f>
        <v>1282500</v>
      </c>
      <c r="D6" s="20">
        <f>SUMIFS(Ventas!$I$5:$I$84,Ventas!$D$5:$D$84,$A6,Ventas!$B$5:$B$84,"&gt;="&amp;D$4,Ventas!$B$5:$B$84,"&lt;"&amp;EDATE(D$4,1))</f>
        <v>2294120</v>
      </c>
      <c r="E6" s="20">
        <f>SUMIFS(Ventas!$I$5:$I$84,Ventas!$D$5:$D$84,$A6,Ventas!$B$5:$B$84,"&gt;="&amp;E$4,Ventas!$B$5:$B$84,"&lt;"&amp;EDATE(E$4,1))</f>
        <v>205200</v>
      </c>
      <c r="F6" s="20">
        <f>SUMIFS(Ventas!$I$5:$I$84,Ventas!$D$5:$D$84,$A6,Ventas!$B$5:$B$84,"&gt;="&amp;F$4,Ventas!$B$5:$B$84,"&lt;"&amp;EDATE(F$4,1))</f>
        <v>11898300</v>
      </c>
      <c r="G6" s="20">
        <f>SUMIFS(Ventas!$I$5:$I$84,Ventas!$D$5:$D$84,$A6,Ventas!$B$5:$B$84,"&gt;="&amp;G$4,Ventas!$B$5:$B$84,"&lt;"&amp;EDATE(G$4,1))</f>
        <v>9343000</v>
      </c>
      <c r="H6" s="20">
        <f t="shared" ref="H6:H14" si="0">SUM(B6:G6)</f>
        <v>29432360</v>
      </c>
      <c r="I6" s="23">
        <f t="shared" ref="I6:I8" si="1">H6/$H$9</f>
        <v>0.2190097253207253</v>
      </c>
    </row>
    <row r="7" spans="1:9" x14ac:dyDescent="0.25">
      <c r="A7" s="22" t="s">
        <v>129</v>
      </c>
      <c r="B7" s="20">
        <f>SUMIFS(Ventas!$I$5:$I$84,Ventas!$D$5:$D$84,$A7,Ventas!$B$5:$B$84,"&gt;="&amp;B$4,Ventas!$B$5:$B$84,"&lt;"&amp;EDATE(B$4,1))</f>
        <v>0</v>
      </c>
      <c r="C7" s="20">
        <f>SUMIFS(Ventas!$I$5:$I$84,Ventas!$D$5:$D$84,$A7,Ventas!$B$5:$B$84,"&gt;="&amp;C$4,Ventas!$B$5:$B$84,"&lt;"&amp;EDATE(C$4,1))</f>
        <v>3808800</v>
      </c>
      <c r="D7" s="20">
        <f>SUMIFS(Ventas!$I$5:$I$84,Ventas!$D$5:$D$84,$A7,Ventas!$B$5:$B$84,"&gt;="&amp;D$4,Ventas!$B$5:$B$84,"&lt;"&amp;EDATE(D$4,1))</f>
        <v>1614960</v>
      </c>
      <c r="E7" s="20">
        <f>SUMIFS(Ventas!$I$5:$I$84,Ventas!$D$5:$D$84,$A7,Ventas!$B$5:$B$84,"&gt;="&amp;E$4,Ventas!$B$5:$B$84,"&lt;"&amp;EDATE(E$4,1))</f>
        <v>6966260</v>
      </c>
      <c r="F7" s="20">
        <f>SUMIFS(Ventas!$I$5:$I$84,Ventas!$D$5:$D$84,$A7,Ventas!$B$5:$B$84,"&gt;="&amp;F$4,Ventas!$B$5:$B$84,"&lt;"&amp;EDATE(F$4,1))</f>
        <v>8722430</v>
      </c>
      <c r="G7" s="20">
        <f>SUMIFS(Ventas!$I$5:$I$84,Ventas!$D$5:$D$84,$A7,Ventas!$B$5:$B$84,"&gt;="&amp;G$4,Ventas!$B$5:$B$84,"&lt;"&amp;EDATE(G$4,1))</f>
        <v>20885400</v>
      </c>
      <c r="H7" s="20">
        <f t="shared" si="0"/>
        <v>41997850</v>
      </c>
      <c r="I7" s="23">
        <f t="shared" si="1"/>
        <v>0.31251104541263502</v>
      </c>
    </row>
    <row r="8" spans="1:9" x14ac:dyDescent="0.25">
      <c r="A8" s="22" t="s">
        <v>115</v>
      </c>
      <c r="B8" s="20">
        <f>SUMIFS(Ventas!$I$5:$I$84,Ventas!$D$5:$D$84,$A8,Ventas!$B$5:$B$84,"&gt;="&amp;B$4,Ventas!$B$5:$B$84,"&lt;"&amp;EDATE(B$4,1))</f>
        <v>1216310</v>
      </c>
      <c r="C8" s="20">
        <f>SUMIFS(Ventas!$I$5:$I$84,Ventas!$D$5:$D$84,$A8,Ventas!$B$5:$B$84,"&gt;="&amp;C$4,Ventas!$B$5:$B$84,"&lt;"&amp;EDATE(C$4,1))</f>
        <v>4192560</v>
      </c>
      <c r="D8" s="20">
        <f>SUMIFS(Ventas!$I$5:$I$84,Ventas!$D$5:$D$84,$A8,Ventas!$B$5:$B$84,"&gt;="&amp;D$4,Ventas!$B$5:$B$84,"&lt;"&amp;EDATE(D$4,1))</f>
        <v>1630500</v>
      </c>
      <c r="E8" s="20">
        <f>SUMIFS(Ventas!$I$5:$I$84,Ventas!$D$5:$D$84,$A8,Ventas!$B$5:$B$84,"&gt;="&amp;E$4,Ventas!$B$5:$B$84,"&lt;"&amp;EDATE(E$4,1))</f>
        <v>1223280</v>
      </c>
      <c r="F8" s="20">
        <f>SUMIFS(Ventas!$I$5:$I$84,Ventas!$D$5:$D$84,$A8,Ventas!$B$5:$B$84,"&gt;="&amp;F$4,Ventas!$B$5:$B$84,"&lt;"&amp;EDATE(F$4,1))</f>
        <v>56260</v>
      </c>
      <c r="G8" s="20">
        <f>SUMIFS(Ventas!$I$5:$I$84,Ventas!$D$5:$D$84,$A8,Ventas!$B$5:$B$84,"&gt;="&amp;G$4,Ventas!$B$5:$B$84,"&lt;"&amp;EDATE(G$4,1))</f>
        <v>0</v>
      </c>
      <c r="H8" s="20">
        <f t="shared" si="0"/>
        <v>8318910</v>
      </c>
      <c r="I8" s="23">
        <f t="shared" si="1"/>
        <v>6.1902008335989196E-2</v>
      </c>
    </row>
    <row r="9" spans="1:9" x14ac:dyDescent="0.25">
      <c r="A9" s="22" t="s">
        <v>101</v>
      </c>
      <c r="B9" s="20">
        <f>SUM(B5:B8)</f>
        <v>39125350</v>
      </c>
      <c r="C9" s="20">
        <f t="shared" ref="C9:H9" si="2">SUM(C5:C8)</f>
        <v>12880410</v>
      </c>
      <c r="D9" s="20">
        <f t="shared" si="2"/>
        <v>7616230</v>
      </c>
      <c r="E9" s="20">
        <f t="shared" si="2"/>
        <v>16003140</v>
      </c>
      <c r="F9" s="20">
        <f t="shared" si="2"/>
        <v>24471940</v>
      </c>
      <c r="G9" s="20">
        <f t="shared" si="2"/>
        <v>34291300</v>
      </c>
      <c r="H9" s="20">
        <f t="shared" si="2"/>
        <v>134388370</v>
      </c>
      <c r="I9"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F32" sqref="F32"/>
    </sheetView>
  </sheetViews>
  <sheetFormatPr baseColWidth="10" defaultColWidth="9.140625" defaultRowHeight="15" x14ac:dyDescent="0.25"/>
  <cols>
    <col min="1" max="1" width="18" customWidth="1"/>
    <col min="2" max="2" width="16" customWidth="1"/>
    <col min="3" max="3" width="12" customWidth="1"/>
    <col min="4" max="4" width="15" customWidth="1"/>
    <col min="5" max="5" width="12" customWidth="1"/>
    <col min="6" max="6" width="13" customWidth="1"/>
    <col min="7" max="7" width="15" customWidth="1"/>
    <col min="10" max="10" width="15" customWidth="1"/>
    <col min="11" max="11" width="12" customWidth="1"/>
  </cols>
  <sheetData>
    <row r="1" spans="1:11" ht="18" x14ac:dyDescent="0.25">
      <c r="A1" s="1" t="s">
        <v>197</v>
      </c>
      <c r="B1" s="2"/>
      <c r="C1" s="2"/>
      <c r="D1" s="2"/>
      <c r="E1" s="2"/>
      <c r="F1" s="2"/>
      <c r="G1" s="2"/>
      <c r="H1" s="2"/>
      <c r="I1" s="2"/>
      <c r="J1" s="2"/>
      <c r="K1" s="2"/>
    </row>
    <row r="2" spans="1:11" x14ac:dyDescent="0.25">
      <c r="A2" s="2"/>
      <c r="B2" s="2"/>
      <c r="C2" s="2"/>
      <c r="D2" s="2"/>
      <c r="E2" s="2"/>
      <c r="F2" s="2"/>
      <c r="G2" s="2"/>
      <c r="H2" s="2"/>
      <c r="I2" s="2"/>
      <c r="J2" s="2"/>
      <c r="K2" s="2"/>
    </row>
    <row r="3" spans="1:11" x14ac:dyDescent="0.25">
      <c r="A3" s="4" t="s">
        <v>198</v>
      </c>
      <c r="B3" s="2"/>
      <c r="C3" s="15">
        <v>4000000</v>
      </c>
      <c r="D3" s="2"/>
      <c r="E3" s="2"/>
      <c r="F3" s="2"/>
      <c r="G3" s="2"/>
      <c r="H3" s="2"/>
      <c r="I3" s="2"/>
      <c r="J3" s="2"/>
      <c r="K3" s="2"/>
    </row>
    <row r="4" spans="1:11" x14ac:dyDescent="0.25">
      <c r="A4" s="2"/>
      <c r="B4" s="2"/>
      <c r="C4" s="2"/>
      <c r="D4" s="2"/>
      <c r="E4" s="2"/>
      <c r="F4" s="2"/>
      <c r="G4" s="2"/>
      <c r="H4" s="2"/>
      <c r="I4" s="2"/>
      <c r="J4" s="2"/>
      <c r="K4" s="2"/>
    </row>
    <row r="5" spans="1:11" ht="45" x14ac:dyDescent="0.25">
      <c r="A5" s="7" t="s">
        <v>98</v>
      </c>
      <c r="B5" s="17" t="s">
        <v>199</v>
      </c>
      <c r="C5" s="17" t="s">
        <v>200</v>
      </c>
      <c r="D5" s="17" t="s">
        <v>201</v>
      </c>
      <c r="E5" s="17" t="s">
        <v>202</v>
      </c>
      <c r="F5" s="17" t="s">
        <v>203</v>
      </c>
      <c r="G5" s="17" t="s">
        <v>204</v>
      </c>
      <c r="H5" s="2"/>
      <c r="I5" s="2"/>
      <c r="J5" s="4" t="s">
        <v>205</v>
      </c>
      <c r="K5" s="2"/>
    </row>
    <row r="6" spans="1:11" ht="30" x14ac:dyDescent="0.25">
      <c r="A6" s="14" t="s">
        <v>110</v>
      </c>
      <c r="B6" s="20">
        <f>SUMIF(Ventas!$C$5:$C$84,$A6,Ventas!$I$5:$I$84)</f>
        <v>36026260</v>
      </c>
      <c r="C6" s="23">
        <f>VLOOKUP(B6,$J$7:$K$11,2,TRUE)</f>
        <v>0.05</v>
      </c>
      <c r="D6" s="20">
        <f>B6*C6</f>
        <v>1801313</v>
      </c>
      <c r="E6" s="24" t="b">
        <f>(SUMIFS(Ventas!$I$5:$I$84,Ventas!$C$5:$C$84,$A6,Ventas!$B$5:$B$84,"&gt;="&amp;DATE(2026,1,1),Ventas!$B$5:$B$84,"&lt;"&amp;DATE(2026,2,1))&gt;$C$3)</f>
        <v>1</v>
      </c>
      <c r="F6" s="20"/>
      <c r="G6" s="20"/>
      <c r="H6" s="2"/>
      <c r="I6" s="2"/>
      <c r="J6" s="7" t="s">
        <v>206</v>
      </c>
      <c r="K6" s="7" t="s">
        <v>200</v>
      </c>
    </row>
    <row r="7" spans="1:11" x14ac:dyDescent="0.25">
      <c r="A7" s="14" t="s">
        <v>103</v>
      </c>
      <c r="B7" s="20">
        <f>SUMIF(Ventas!$C$5:$C$84,$A7,Ventas!$I$5:$I$84)</f>
        <v>29432360</v>
      </c>
      <c r="C7" s="23">
        <f t="shared" ref="C7:C10" si="0">VLOOKUP(B7,$J$7:$K$11,2,TRUE)</f>
        <v>3.5000000000000003E-2</v>
      </c>
      <c r="D7" s="20">
        <f t="shared" ref="D7:D10" si="1">B7*C7</f>
        <v>1030132.6000000001</v>
      </c>
      <c r="E7" s="24" t="b">
        <f>(SUMIFS(Ventas!$I$5:$I$84,Ventas!$C$5:$C$84,$A7,Ventas!$B$5:$B$84,"&gt;="&amp;DATE(2026,1,1),Ventas!$B$5:$B$84,"&lt;"&amp;DATE(2026,2,1))&gt;$C$3)</f>
        <v>1</v>
      </c>
      <c r="F7" s="20"/>
      <c r="G7" s="20"/>
      <c r="H7" s="2"/>
      <c r="I7" s="2"/>
      <c r="J7" s="15">
        <v>0</v>
      </c>
      <c r="K7" s="25">
        <v>0.01</v>
      </c>
    </row>
    <row r="8" spans="1:11" x14ac:dyDescent="0.25">
      <c r="A8" s="14" t="s">
        <v>128</v>
      </c>
      <c r="B8" s="20">
        <f>SUMIF(Ventas!$C$5:$C$84,$A8,Ventas!$I$5:$I$84)</f>
        <v>41997850</v>
      </c>
      <c r="C8" s="23">
        <f t="shared" si="0"/>
        <v>0.05</v>
      </c>
      <c r="D8" s="20">
        <f t="shared" si="1"/>
        <v>2099892.5</v>
      </c>
      <c r="E8" s="24" t="b">
        <f>(SUMIFS(Ventas!$I$5:$I$84,Ventas!$C$5:$C$84,$A8,Ventas!$B$5:$B$84,"&gt;="&amp;DATE(2026,1,1),Ventas!$B$5:$B$84,"&lt;"&amp;DATE(2026,2,1))&gt;$C$3)</f>
        <v>0</v>
      </c>
      <c r="F8" s="20"/>
      <c r="G8" s="20"/>
      <c r="H8" s="2"/>
      <c r="I8" s="2"/>
      <c r="J8" s="15">
        <v>10000000</v>
      </c>
      <c r="K8" s="25">
        <v>0.02</v>
      </c>
    </row>
    <row r="9" spans="1:11" x14ac:dyDescent="0.25">
      <c r="A9" s="14" t="s">
        <v>106</v>
      </c>
      <c r="B9" s="20">
        <f>SUMIF(Ventas!$C$5:$C$84,$A9,Ventas!$I$5:$I$84)</f>
        <v>18032990</v>
      </c>
      <c r="C9" s="23">
        <f t="shared" si="0"/>
        <v>0.02</v>
      </c>
      <c r="D9" s="20">
        <f t="shared" si="1"/>
        <v>360659.8</v>
      </c>
      <c r="E9" s="24" t="b">
        <f>(SUMIFS(Ventas!$I$5:$I$84,Ventas!$C$5:$C$84,$A9,Ventas!$B$5:$B$84,"&gt;="&amp;DATE(2026,1,1),Ventas!$B$5:$B$84,"&lt;"&amp;DATE(2026,2,1))&gt;$C$3)</f>
        <v>1</v>
      </c>
      <c r="F9" s="20"/>
      <c r="G9" s="20"/>
      <c r="H9" s="2"/>
      <c r="I9" s="2"/>
      <c r="J9" s="15">
        <v>20000000</v>
      </c>
      <c r="K9" s="25">
        <v>3.5000000000000003E-2</v>
      </c>
    </row>
    <row r="10" spans="1:11" x14ac:dyDescent="0.25">
      <c r="A10" s="14" t="s">
        <v>114</v>
      </c>
      <c r="B10" s="20">
        <f>SUMIF(Ventas!$C$5:$C$84,$A10,Ventas!$I$5:$I$84)</f>
        <v>8318910</v>
      </c>
      <c r="C10" s="23">
        <f t="shared" si="0"/>
        <v>0.01</v>
      </c>
      <c r="D10" s="20">
        <f t="shared" si="1"/>
        <v>83189.100000000006</v>
      </c>
      <c r="E10" s="24" t="b">
        <f>(SUMIFS(Ventas!$I$5:$I$84,Ventas!$C$5:$C$84,$A10,Ventas!$B$5:$B$84,"&gt;="&amp;DATE(2026,1,1),Ventas!$B$5:$B$84,"&lt;"&amp;DATE(2026,2,1))&gt;$C$3)</f>
        <v>0</v>
      </c>
      <c r="F10" s="20"/>
      <c r="G10" s="20"/>
      <c r="H10" s="2"/>
      <c r="I10" s="2"/>
      <c r="J10" s="15">
        <v>35000000</v>
      </c>
      <c r="K10" s="25">
        <v>0.05</v>
      </c>
    </row>
    <row r="11" spans="1:11" x14ac:dyDescent="0.25">
      <c r="A11" s="2"/>
      <c r="B11" s="2"/>
      <c r="C11" s="2"/>
      <c r="D11" s="2"/>
      <c r="E11" s="2"/>
      <c r="F11" s="2"/>
      <c r="G11" s="2"/>
      <c r="H11" s="2"/>
      <c r="I11" s="2"/>
      <c r="J11" s="15">
        <v>50000000</v>
      </c>
      <c r="K11" s="25">
        <v>7.0000000000000007E-2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
  <sheetViews>
    <sheetView workbookViewId="0">
      <selection activeCell="F8" sqref="F8"/>
    </sheetView>
  </sheetViews>
  <sheetFormatPr baseColWidth="10" defaultColWidth="9.140625" defaultRowHeight="15" x14ac:dyDescent="0.25"/>
  <cols>
    <col min="1" max="1" width="18" customWidth="1"/>
    <col min="2" max="4" width="15" customWidth="1"/>
    <col min="5" max="5" width="22" customWidth="1"/>
    <col min="6" max="6" width="9" customWidth="1"/>
    <col min="7" max="7" width="14" customWidth="1"/>
    <col min="8" max="8" width="18" customWidth="1"/>
  </cols>
  <sheetData>
    <row r="1" spans="1:8" ht="18" x14ac:dyDescent="0.25">
      <c r="A1" s="1" t="s">
        <v>207</v>
      </c>
      <c r="B1" s="2"/>
      <c r="C1" s="2"/>
      <c r="D1" s="2"/>
      <c r="E1" s="2"/>
      <c r="F1" s="2"/>
      <c r="G1" s="2"/>
      <c r="H1" s="2"/>
    </row>
    <row r="2" spans="1:8" x14ac:dyDescent="0.25">
      <c r="A2" s="2"/>
      <c r="B2" s="2"/>
      <c r="C2" s="2"/>
      <c r="D2" s="2"/>
      <c r="E2" s="2"/>
      <c r="F2" s="2"/>
      <c r="G2" s="2"/>
      <c r="H2" s="2"/>
    </row>
    <row r="3" spans="1:8" x14ac:dyDescent="0.25">
      <c r="A3" s="4" t="s">
        <v>208</v>
      </c>
      <c r="B3" s="18">
        <v>46203</v>
      </c>
      <c r="C3" s="2"/>
      <c r="D3" s="2"/>
      <c r="E3" s="2"/>
      <c r="F3" s="2"/>
      <c r="G3" s="2"/>
      <c r="H3" s="2"/>
    </row>
    <row r="4" spans="1:8" x14ac:dyDescent="0.25">
      <c r="A4" s="2"/>
      <c r="B4" s="2"/>
      <c r="C4" s="2"/>
      <c r="D4" s="2"/>
      <c r="E4" s="2"/>
      <c r="F4" s="2"/>
      <c r="G4" s="2"/>
      <c r="H4" s="2"/>
    </row>
    <row r="5" spans="1:8" ht="30" x14ac:dyDescent="0.25">
      <c r="A5" s="7" t="s">
        <v>209</v>
      </c>
      <c r="B5" s="7" t="s">
        <v>210</v>
      </c>
      <c r="C5" s="7" t="s">
        <v>211</v>
      </c>
      <c r="D5" s="7" t="s">
        <v>212</v>
      </c>
      <c r="E5" s="17" t="s">
        <v>213</v>
      </c>
      <c r="F5" s="17" t="s">
        <v>214</v>
      </c>
      <c r="G5" s="17" t="s">
        <v>215</v>
      </c>
      <c r="H5" s="17" t="s">
        <v>216</v>
      </c>
    </row>
    <row r="6" spans="1:8" x14ac:dyDescent="0.25">
      <c r="A6" s="14" t="s">
        <v>217</v>
      </c>
      <c r="B6" s="14" t="s">
        <v>218</v>
      </c>
      <c r="C6" s="18">
        <v>44515</v>
      </c>
      <c r="D6" s="15">
        <v>3800000</v>
      </c>
      <c r="E6" s="19" t="str">
        <f>IF(DATEDIF(C6,$B$3,"y")=0,DATEDIF(C6,$B$3,"ym")&amp;" meses",DATEDIF(C6,$B$3,"y")&amp;" años y "&amp;DATEDIF(C6,$B$3,"ym")&amp;" meses")</f>
        <v>4 años y 7 meses</v>
      </c>
      <c r="F6" s="26">
        <f>IF(DATEDIF(C6,$B$3,"y")&lt;2,0,IF(DATEDIF(C6,$B$3,"y")&lt;5,0.05,IF(DATEDIF(C6,$B$3,"y")&lt;10,0.1,0.15)))</f>
        <v>0.05</v>
      </c>
      <c r="G6" s="20">
        <f>D6*F6</f>
        <v>190000</v>
      </c>
      <c r="H6" s="27">
        <f>DATE(YEAR($B$3)+IF(DATE(YEAR($B$3),MONTH(C6),DAY(C6))&lt;=$B$3,1,0),MONTH(C6),DAY(C6))</f>
        <v>46341</v>
      </c>
    </row>
    <row r="7" spans="1:8" x14ac:dyDescent="0.25">
      <c r="A7" s="14" t="s">
        <v>219</v>
      </c>
      <c r="B7" s="14" t="s">
        <v>220</v>
      </c>
      <c r="C7" s="18">
        <v>41700</v>
      </c>
      <c r="D7" s="15">
        <v>6200000</v>
      </c>
      <c r="E7" s="19" t="str">
        <f t="shared" ref="E7:E15" si="0">IF(DATEDIF(C7,$B$3,"y")=0,DATEDIF(C7,$B$3,"ym")&amp;" meses",DATEDIF(C7,$B$3,"y")&amp;" años y "&amp;DATEDIF(C7,$B$3,"ym")&amp;" meses")</f>
        <v>12 años y 3 meses</v>
      </c>
      <c r="F7" s="26">
        <f t="shared" ref="F7:F15" si="1">IF(DATEDIF(C7,$B$3,"y")&lt;2,0,IF(DATEDIF(C7,$B$3,"y")&lt;5,0.05,IF(DATEDIF(C7,$B$3,"y")&lt;10,0.1,0.15)))</f>
        <v>0.15</v>
      </c>
      <c r="G7" s="20">
        <f t="shared" ref="G7:G15" si="2">D7*F7</f>
        <v>930000</v>
      </c>
      <c r="H7" s="27">
        <f t="shared" ref="H7:H15" si="3">DATE(YEAR($B$3)+IF(DATE(YEAR($B$3),MONTH(C7),DAY(C7))&lt;=$B$3,1,0),MONTH(C7),DAY(C7))</f>
        <v>46448</v>
      </c>
    </row>
    <row r="8" spans="1:8" x14ac:dyDescent="0.25">
      <c r="A8" s="14" t="s">
        <v>221</v>
      </c>
      <c r="B8" s="14" t="s">
        <v>222</v>
      </c>
      <c r="C8" s="18">
        <v>45992</v>
      </c>
      <c r="D8" s="15">
        <v>1900000</v>
      </c>
      <c r="E8" s="19" t="str">
        <f t="shared" si="0"/>
        <v>6 meses</v>
      </c>
      <c r="F8" s="26">
        <f t="shared" si="1"/>
        <v>0</v>
      </c>
      <c r="G8" s="20">
        <f t="shared" si="2"/>
        <v>0</v>
      </c>
      <c r="H8" s="27">
        <f t="shared" si="3"/>
        <v>46357</v>
      </c>
    </row>
    <row r="9" spans="1:8" x14ac:dyDescent="0.25">
      <c r="A9" s="14" t="s">
        <v>223</v>
      </c>
      <c r="B9" s="14" t="s">
        <v>224</v>
      </c>
      <c r="C9" s="18">
        <v>43646</v>
      </c>
      <c r="D9" s="15">
        <v>5400000</v>
      </c>
      <c r="E9" s="19" t="str">
        <f t="shared" si="0"/>
        <v>7 años y 0 meses</v>
      </c>
      <c r="F9" s="26">
        <f t="shared" si="1"/>
        <v>0.1</v>
      </c>
      <c r="G9" s="20">
        <f t="shared" si="2"/>
        <v>540000</v>
      </c>
      <c r="H9" s="27">
        <f t="shared" si="3"/>
        <v>46568</v>
      </c>
    </row>
    <row r="10" spans="1:8" x14ac:dyDescent="0.25">
      <c r="A10" s="14" t="s">
        <v>225</v>
      </c>
      <c r="B10" s="14" t="s">
        <v>226</v>
      </c>
      <c r="C10" s="18">
        <v>39680</v>
      </c>
      <c r="D10" s="15">
        <v>11500000</v>
      </c>
      <c r="E10" s="19" t="str">
        <f t="shared" si="0"/>
        <v>17 años y 10 meses</v>
      </c>
      <c r="F10" s="26">
        <f t="shared" si="1"/>
        <v>0.15</v>
      </c>
      <c r="G10" s="20">
        <f t="shared" si="2"/>
        <v>1725000</v>
      </c>
      <c r="H10" s="27">
        <f t="shared" si="3"/>
        <v>46254</v>
      </c>
    </row>
    <row r="11" spans="1:8" x14ac:dyDescent="0.25">
      <c r="A11" s="14" t="s">
        <v>227</v>
      </c>
      <c r="B11" s="14" t="s">
        <v>218</v>
      </c>
      <c r="C11" s="18">
        <v>45351</v>
      </c>
      <c r="D11" s="15">
        <v>3600000</v>
      </c>
      <c r="E11" s="19" t="str">
        <f t="shared" si="0"/>
        <v>2 años y 4 meses</v>
      </c>
      <c r="F11" s="26">
        <f t="shared" si="1"/>
        <v>0.05</v>
      </c>
      <c r="G11" s="20">
        <f t="shared" si="2"/>
        <v>180000</v>
      </c>
      <c r="H11" s="27">
        <f t="shared" si="3"/>
        <v>46447</v>
      </c>
    </row>
    <row r="12" spans="1:8" x14ac:dyDescent="0.25">
      <c r="A12" s="14" t="s">
        <v>228</v>
      </c>
      <c r="B12" s="14" t="s">
        <v>229</v>
      </c>
      <c r="C12" s="18">
        <v>42552</v>
      </c>
      <c r="D12" s="15">
        <v>4700000</v>
      </c>
      <c r="E12" s="19" t="str">
        <f t="shared" si="0"/>
        <v>9 años y 11 meses</v>
      </c>
      <c r="F12" s="26">
        <f t="shared" si="1"/>
        <v>0.1</v>
      </c>
      <c r="G12" s="20">
        <f t="shared" si="2"/>
        <v>470000</v>
      </c>
      <c r="H12" s="27">
        <f t="shared" si="3"/>
        <v>46204</v>
      </c>
    </row>
    <row r="13" spans="1:8" x14ac:dyDescent="0.25">
      <c r="A13" s="14" t="s">
        <v>230</v>
      </c>
      <c r="B13" s="14" t="s">
        <v>222</v>
      </c>
      <c r="C13" s="18">
        <v>45107</v>
      </c>
      <c r="D13" s="15">
        <v>1950000</v>
      </c>
      <c r="E13" s="19" t="str">
        <f t="shared" si="0"/>
        <v>3 años y 0 meses</v>
      </c>
      <c r="F13" s="26">
        <f t="shared" si="1"/>
        <v>0.05</v>
      </c>
      <c r="G13" s="20">
        <f t="shared" si="2"/>
        <v>97500</v>
      </c>
      <c r="H13" s="27">
        <f t="shared" si="3"/>
        <v>46568</v>
      </c>
    </row>
    <row r="14" spans="1:8" x14ac:dyDescent="0.25">
      <c r="A14" s="14" t="s">
        <v>231</v>
      </c>
      <c r="B14" s="14" t="s">
        <v>232</v>
      </c>
      <c r="C14" s="18">
        <v>40553</v>
      </c>
      <c r="D14" s="15">
        <v>7300000</v>
      </c>
      <c r="E14" s="19" t="str">
        <f t="shared" si="0"/>
        <v>15 años y 5 meses</v>
      </c>
      <c r="F14" s="26">
        <f t="shared" si="1"/>
        <v>0.15</v>
      </c>
      <c r="G14" s="20">
        <f t="shared" si="2"/>
        <v>1095000</v>
      </c>
      <c r="H14" s="27">
        <f t="shared" si="3"/>
        <v>46397</v>
      </c>
    </row>
    <row r="15" spans="1:8" x14ac:dyDescent="0.25">
      <c r="A15" s="14" t="s">
        <v>233</v>
      </c>
      <c r="B15" s="14" t="s">
        <v>220</v>
      </c>
      <c r="C15" s="18">
        <v>44376</v>
      </c>
      <c r="D15" s="15">
        <v>5900000</v>
      </c>
      <c r="E15" s="19" t="str">
        <f t="shared" si="0"/>
        <v>5 años y 0 meses</v>
      </c>
      <c r="F15" s="26">
        <f t="shared" si="1"/>
        <v>0.1</v>
      </c>
      <c r="G15" s="20">
        <f t="shared" si="2"/>
        <v>590000</v>
      </c>
      <c r="H15" s="27">
        <f t="shared" si="3"/>
        <v>46567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workbookViewId="0">
      <selection activeCell="I5" sqref="I5:I16"/>
    </sheetView>
  </sheetViews>
  <sheetFormatPr baseColWidth="10" defaultColWidth="9.140625" defaultRowHeight="15" x14ac:dyDescent="0.25"/>
  <cols>
    <col min="1" max="2" width="26" customWidth="1"/>
    <col min="3" max="3" width="20" customWidth="1"/>
    <col min="4" max="4" width="24" customWidth="1"/>
    <col min="5" max="5" width="15" customWidth="1"/>
    <col min="6" max="6" width="16" customWidth="1"/>
    <col min="7" max="8" width="18" customWidth="1"/>
    <col min="9" max="9" width="11" customWidth="1"/>
  </cols>
  <sheetData>
    <row r="1" spans="1:9" ht="18" x14ac:dyDescent="0.25">
      <c r="A1" s="1" t="s">
        <v>234</v>
      </c>
      <c r="B1" s="2"/>
      <c r="C1" s="2"/>
      <c r="D1" s="2"/>
      <c r="E1" s="2"/>
      <c r="F1" s="2"/>
      <c r="G1" s="2"/>
      <c r="H1" s="2"/>
      <c r="I1" s="2"/>
    </row>
    <row r="2" spans="1:9" x14ac:dyDescent="0.25">
      <c r="A2" s="2"/>
      <c r="B2" s="2"/>
      <c r="C2" s="2"/>
      <c r="D2" s="2"/>
      <c r="E2" s="2"/>
      <c r="F2" s="2"/>
      <c r="G2" s="2"/>
      <c r="H2" s="2"/>
      <c r="I2" s="2"/>
    </row>
    <row r="3" spans="1:9" x14ac:dyDescent="0.25">
      <c r="A3" s="2"/>
      <c r="B3" s="2"/>
      <c r="C3" s="2"/>
      <c r="D3" s="2"/>
      <c r="E3" s="2"/>
      <c r="F3" s="2"/>
      <c r="G3" s="2"/>
      <c r="H3" s="2"/>
      <c r="I3" s="2"/>
    </row>
    <row r="4" spans="1:9" ht="30" x14ac:dyDescent="0.25">
      <c r="A4" s="7" t="s">
        <v>235</v>
      </c>
      <c r="B4" s="7" t="s">
        <v>236</v>
      </c>
      <c r="C4" s="7" t="s">
        <v>237</v>
      </c>
      <c r="D4" s="17" t="s">
        <v>238</v>
      </c>
      <c r="E4" s="17" t="s">
        <v>239</v>
      </c>
      <c r="F4" s="17" t="s">
        <v>240</v>
      </c>
      <c r="G4" s="17" t="s">
        <v>241</v>
      </c>
      <c r="H4" s="17" t="s">
        <v>242</v>
      </c>
      <c r="I4" s="17" t="s">
        <v>243</v>
      </c>
    </row>
    <row r="5" spans="1:9" x14ac:dyDescent="0.25">
      <c r="A5" s="14" t="s">
        <v>244</v>
      </c>
      <c r="B5" s="14" t="s">
        <v>245</v>
      </c>
      <c r="C5" s="14" t="s">
        <v>246</v>
      </c>
      <c r="D5" s="19" t="str">
        <f>PROPER(TRIM(A5))</f>
        <v>Juan Pérez Gómez</v>
      </c>
      <c r="E5" s="19" t="str">
        <f>MID(D5&amp;" ",FIND(" ",D5&amp;" ")+1,FIND(" ",D5&amp;" ",FIND(" ",D5&amp;" ")+1)-FIND(" ",D5&amp;" ")-1)</f>
        <v>Pérez</v>
      </c>
      <c r="F5" s="19" t="str">
        <f>LEFT(TRIM(B5),FIND("@",TRIM(B5))-1)</f>
        <v>juan.perez</v>
      </c>
      <c r="G5" s="19" t="str">
        <f>LOWER(MID(TRIM(B5),FIND("@",TRIM(B5))+1,100))</f>
        <v>gmail.com</v>
      </c>
      <c r="H5" s="19" t="str">
        <f>RIGHT(SUBSTITUTE(SUBSTITUTE(SUBSTITUTE(SUBSTITUTE(SUBSTITUTE(SUBSTITUTE(C5," ",""),"-",""),"(",""),")",""),"+",""),".",""),10)</f>
        <v>3001234567</v>
      </c>
      <c r="I5" s="19" t="str">
        <f>IF(SUMPRODUCT(--(LOWER(TRIM($B$5:$B$16))=LOWER(TRIM(B5))))&gt;1,"SÍ","")</f>
        <v>SÍ</v>
      </c>
    </row>
    <row r="6" spans="1:9" x14ac:dyDescent="0.25">
      <c r="A6" s="14" t="s">
        <v>247</v>
      </c>
      <c r="B6" s="14" t="s">
        <v>248</v>
      </c>
      <c r="C6" s="14" t="s">
        <v>249</v>
      </c>
      <c r="D6" s="19" t="str">
        <f t="shared" ref="D6:D16" si="0">PROPER(TRIM(A6))</f>
        <v>María Fernanda López</v>
      </c>
      <c r="E6" s="19" t="str">
        <f t="shared" ref="E6:E16" si="1">MID(D6&amp;" ",FIND(" ",D6&amp;" ")+1,FIND(" ",D6&amp;" ",FIND(" ",D6&amp;" ")+1)-FIND(" ",D6&amp;" ")-1)</f>
        <v>Fernanda</v>
      </c>
      <c r="F6" s="19" t="str">
        <f t="shared" ref="F6:F16" si="2">LEFT(TRIM(B6),FIND("@",TRIM(B6))-1)</f>
        <v>mfl88</v>
      </c>
      <c r="G6" s="19" t="str">
        <f t="shared" ref="G6:G16" si="3">LOWER(MID(TRIM(B6),FIND("@",TRIM(B6))+1,100))</f>
        <v>hotmail.com</v>
      </c>
      <c r="H6" s="19" t="str">
        <f t="shared" ref="H6:H16" si="4">RIGHT(SUBSTITUTE(SUBSTITUTE(SUBSTITUTE(SUBSTITUTE(SUBSTITUTE(SUBSTITUTE(C6," ",""),"-",""),"(",""),")",""),"+",""),".",""),10)</f>
        <v>3105557788</v>
      </c>
      <c r="I6" s="19" t="str">
        <f t="shared" ref="I6:I16" si="5">IF(SUMPRODUCT(--(LOWER(TRIM($B$5:$B$16))=LOWER(TRIM(B6))))&gt;1,"SÍ","")</f>
        <v/>
      </c>
    </row>
    <row r="7" spans="1:9" x14ac:dyDescent="0.25">
      <c r="A7" s="14" t="s">
        <v>250</v>
      </c>
      <c r="B7" s="14" t="s">
        <v>251</v>
      </c>
      <c r="C7" s="14" t="s">
        <v>252</v>
      </c>
      <c r="D7" s="19" t="str">
        <f t="shared" si="0"/>
        <v>Carlos Andrés Ruiz</v>
      </c>
      <c r="E7" s="19" t="str">
        <f t="shared" si="1"/>
        <v>Andrés</v>
      </c>
      <c r="F7" s="19" t="str">
        <f t="shared" si="2"/>
        <v>carlos.ruiz</v>
      </c>
      <c r="G7" s="19" t="str">
        <f t="shared" si="3"/>
        <v>empresa.co</v>
      </c>
      <c r="H7" s="19" t="str">
        <f t="shared" si="4"/>
        <v>3152223344</v>
      </c>
      <c r="I7" s="19" t="str">
        <f t="shared" si="5"/>
        <v/>
      </c>
    </row>
    <row r="8" spans="1:9" x14ac:dyDescent="0.25">
      <c r="A8" s="14" t="s">
        <v>253</v>
      </c>
      <c r="B8" s="14" t="s">
        <v>254</v>
      </c>
      <c r="C8" s="14" t="s">
        <v>255</v>
      </c>
      <c r="D8" s="19" t="str">
        <f t="shared" si="0"/>
        <v>Ana Sofía Vélez</v>
      </c>
      <c r="E8" s="19" t="str">
        <f t="shared" si="1"/>
        <v>Sofía</v>
      </c>
      <c r="F8" s="19" t="str">
        <f t="shared" si="2"/>
        <v>ANA.VELEZ</v>
      </c>
      <c r="G8" s="19" t="str">
        <f t="shared" si="3"/>
        <v>outlook.com</v>
      </c>
      <c r="H8" s="19" t="str">
        <f t="shared" si="4"/>
        <v>3204445566</v>
      </c>
      <c r="I8" s="19" t="str">
        <f t="shared" si="5"/>
        <v>SÍ</v>
      </c>
    </row>
    <row r="9" spans="1:9" x14ac:dyDescent="0.25">
      <c r="A9" s="14" t="s">
        <v>256</v>
      </c>
      <c r="B9" s="14" t="s">
        <v>257</v>
      </c>
      <c r="C9" s="14" t="s">
        <v>258</v>
      </c>
      <c r="D9" s="19" t="str">
        <f t="shared" si="0"/>
        <v>Pedro Ramírez</v>
      </c>
      <c r="E9" s="19" t="str">
        <f t="shared" si="1"/>
        <v>Ramírez</v>
      </c>
      <c r="F9" s="19" t="str">
        <f t="shared" si="2"/>
        <v>pramirez</v>
      </c>
      <c r="G9" s="19" t="str">
        <f t="shared" si="3"/>
        <v>yahoo.es</v>
      </c>
      <c r="H9" s="19" t="str">
        <f t="shared" si="4"/>
        <v>3019990000</v>
      </c>
      <c r="I9" s="19" t="str">
        <f t="shared" si="5"/>
        <v/>
      </c>
    </row>
    <row r="10" spans="1:9" x14ac:dyDescent="0.25">
      <c r="A10" s="14" t="s">
        <v>259</v>
      </c>
      <c r="B10" s="14" t="s">
        <v>260</v>
      </c>
      <c r="C10" s="14" t="s">
        <v>261</v>
      </c>
      <c r="D10" s="19" t="str">
        <f t="shared" si="0"/>
        <v>Juan Pérez Gómez</v>
      </c>
      <c r="E10" s="19" t="str">
        <f t="shared" si="1"/>
        <v>Pérez</v>
      </c>
      <c r="F10" s="19" t="str">
        <f t="shared" si="2"/>
        <v>JUAN.PEREZ</v>
      </c>
      <c r="G10" s="19" t="str">
        <f t="shared" si="3"/>
        <v>gmail.com</v>
      </c>
      <c r="H10" s="19" t="str">
        <f t="shared" si="4"/>
        <v>3001234567</v>
      </c>
      <c r="I10" s="19" t="str">
        <f t="shared" si="5"/>
        <v>SÍ</v>
      </c>
    </row>
    <row r="11" spans="1:9" x14ac:dyDescent="0.25">
      <c r="A11" s="14" t="s">
        <v>262</v>
      </c>
      <c r="B11" s="14" t="s">
        <v>263</v>
      </c>
      <c r="C11" s="14" t="s">
        <v>264</v>
      </c>
      <c r="D11" s="19" t="str">
        <f t="shared" si="0"/>
        <v>Lucía Martínez Ortiz</v>
      </c>
      <c r="E11" s="19" t="str">
        <f t="shared" si="1"/>
        <v>Martínez</v>
      </c>
      <c r="F11" s="19" t="str">
        <f t="shared" si="2"/>
        <v>lucia_mo</v>
      </c>
      <c r="G11" s="19" t="str">
        <f t="shared" si="3"/>
        <v>gmail.com</v>
      </c>
      <c r="H11" s="19" t="str">
        <f t="shared" si="4"/>
        <v>3118887766</v>
      </c>
      <c r="I11" s="19" t="str">
        <f t="shared" si="5"/>
        <v/>
      </c>
    </row>
    <row r="12" spans="1:9" x14ac:dyDescent="0.25">
      <c r="A12" s="14" t="s">
        <v>265</v>
      </c>
      <c r="B12" s="14" t="s">
        <v>266</v>
      </c>
      <c r="C12" s="14" t="s">
        <v>267</v>
      </c>
      <c r="D12" s="19" t="str">
        <f t="shared" si="0"/>
        <v>Jorge Eliécer Gaitán</v>
      </c>
      <c r="E12" s="19" t="str">
        <f t="shared" si="1"/>
        <v>Eliécer</v>
      </c>
      <c r="F12" s="19" t="str">
        <f t="shared" si="2"/>
        <v>jegaitan</v>
      </c>
      <c r="G12" s="19" t="str">
        <f t="shared" si="3"/>
        <v>empresa.co</v>
      </c>
      <c r="H12" s="19" t="str">
        <f t="shared" si="4"/>
        <v>3120001122</v>
      </c>
      <c r="I12" s="19" t="str">
        <f t="shared" si="5"/>
        <v/>
      </c>
    </row>
    <row r="13" spans="1:9" x14ac:dyDescent="0.25">
      <c r="A13" s="14" t="s">
        <v>268</v>
      </c>
      <c r="B13" s="14" t="s">
        <v>269</v>
      </c>
      <c r="C13" s="14" t="s">
        <v>270</v>
      </c>
      <c r="D13" s="19" t="str">
        <f t="shared" si="0"/>
        <v>Valeria Cano</v>
      </c>
      <c r="E13" s="19" t="str">
        <f t="shared" si="1"/>
        <v>Cano</v>
      </c>
      <c r="F13" s="19" t="str">
        <f t="shared" si="2"/>
        <v>vcano</v>
      </c>
      <c r="G13" s="19" t="str">
        <f t="shared" si="3"/>
        <v>hotmail.com</v>
      </c>
      <c r="H13" s="19" t="str">
        <f t="shared" si="4"/>
        <v>3167778899</v>
      </c>
      <c r="I13" s="19" t="str">
        <f t="shared" si="5"/>
        <v/>
      </c>
    </row>
    <row r="14" spans="1:9" x14ac:dyDescent="0.25">
      <c r="A14" s="14" t="s">
        <v>271</v>
      </c>
      <c r="B14" s="14" t="s">
        <v>272</v>
      </c>
      <c r="C14" s="14" t="s">
        <v>273</v>
      </c>
      <c r="D14" s="19" t="str">
        <f t="shared" si="0"/>
        <v>Ana Sofía Vélez</v>
      </c>
      <c r="E14" s="19" t="str">
        <f t="shared" si="1"/>
        <v>Sofía</v>
      </c>
      <c r="F14" s="19" t="str">
        <f t="shared" si="2"/>
        <v>ana.velez</v>
      </c>
      <c r="G14" s="19" t="str">
        <f t="shared" si="3"/>
        <v>outlook.com</v>
      </c>
      <c r="H14" s="19" t="str">
        <f t="shared" si="4"/>
        <v>3204445566</v>
      </c>
      <c r="I14" s="19" t="str">
        <f t="shared" si="5"/>
        <v>SÍ</v>
      </c>
    </row>
    <row r="15" spans="1:9" x14ac:dyDescent="0.25">
      <c r="A15" s="14" t="s">
        <v>274</v>
      </c>
      <c r="B15" s="14" t="s">
        <v>275</v>
      </c>
      <c r="C15" s="14" t="s">
        <v>276</v>
      </c>
      <c r="D15" s="19" t="str">
        <f t="shared" si="0"/>
        <v>Diego Alejandro Mesa</v>
      </c>
      <c r="E15" s="19" t="str">
        <f t="shared" si="1"/>
        <v>Alejandro</v>
      </c>
      <c r="F15" s="19" t="str">
        <f t="shared" si="2"/>
        <v>dmesa</v>
      </c>
      <c r="G15" s="19" t="str">
        <f t="shared" si="3"/>
        <v>unal.edu.co</v>
      </c>
      <c r="H15" s="19" t="str">
        <f t="shared" si="4"/>
        <v>3175550011</v>
      </c>
      <c r="I15" s="19" t="str">
        <f t="shared" si="5"/>
        <v/>
      </c>
    </row>
    <row r="16" spans="1:9" x14ac:dyDescent="0.25">
      <c r="A16" s="14" t="s">
        <v>277</v>
      </c>
      <c r="B16" s="14" t="s">
        <v>278</v>
      </c>
      <c r="C16" s="14" t="s">
        <v>279</v>
      </c>
      <c r="D16" s="19" t="str">
        <f t="shared" si="0"/>
        <v>Paula Andrea Quintero</v>
      </c>
      <c r="E16" s="19" t="str">
        <f t="shared" si="1"/>
        <v>Andrea</v>
      </c>
      <c r="F16" s="19" t="str">
        <f t="shared" si="2"/>
        <v>pquintero</v>
      </c>
      <c r="G16" s="19" t="str">
        <f t="shared" si="3"/>
        <v>gmail.com</v>
      </c>
      <c r="H16" s="19" t="str">
        <f t="shared" si="4"/>
        <v>3007654321</v>
      </c>
      <c r="I16" s="19" t="str">
        <f t="shared" si="5"/>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
  <sheetViews>
    <sheetView workbookViewId="0">
      <selection activeCell="G6" sqref="G6"/>
    </sheetView>
  </sheetViews>
  <sheetFormatPr baseColWidth="10" defaultColWidth="9.140625" defaultRowHeight="15" x14ac:dyDescent="0.25"/>
  <cols>
    <col min="1" max="1" width="8" customWidth="1"/>
    <col min="2" max="2" width="20" customWidth="1"/>
    <col min="3" max="3" width="16" customWidth="1"/>
    <col min="6" max="6" width="8" customWidth="1"/>
    <col min="7" max="7" width="22" customWidth="1"/>
    <col min="8" max="8" width="11" customWidth="1"/>
  </cols>
  <sheetData>
    <row r="1" spans="1:8" ht="18" x14ac:dyDescent="0.25">
      <c r="A1" s="1" t="s">
        <v>280</v>
      </c>
      <c r="B1" s="2"/>
      <c r="C1" s="2"/>
      <c r="D1" s="2"/>
      <c r="E1" s="2"/>
      <c r="F1" s="2"/>
      <c r="G1" s="2"/>
      <c r="H1" s="2"/>
    </row>
    <row r="2" spans="1:8" x14ac:dyDescent="0.25">
      <c r="A2" s="2"/>
      <c r="B2" s="2"/>
      <c r="C2" s="2"/>
      <c r="D2" s="2"/>
      <c r="E2" s="2"/>
      <c r="F2" s="2"/>
      <c r="G2" s="2"/>
      <c r="H2" s="2"/>
    </row>
    <row r="3" spans="1:8" x14ac:dyDescent="0.25">
      <c r="A3" s="2"/>
      <c r="B3" s="2"/>
      <c r="C3" s="2"/>
      <c r="D3" s="2"/>
      <c r="E3" s="2"/>
      <c r="F3" s="2"/>
      <c r="G3" s="2"/>
      <c r="H3" s="2"/>
    </row>
    <row r="4" spans="1:8" ht="30" x14ac:dyDescent="0.25">
      <c r="A4" s="7" t="s">
        <v>281</v>
      </c>
      <c r="B4" s="7" t="s">
        <v>98</v>
      </c>
      <c r="C4" s="7" t="s">
        <v>282</v>
      </c>
      <c r="D4" s="2"/>
      <c r="E4" s="2"/>
      <c r="F4" s="7" t="s">
        <v>281</v>
      </c>
      <c r="G4" s="7" t="s">
        <v>57</v>
      </c>
      <c r="H4" s="7" t="s">
        <v>283</v>
      </c>
    </row>
    <row r="5" spans="1:8" x14ac:dyDescent="0.25">
      <c r="A5" s="22">
        <v>1</v>
      </c>
      <c r="B5" s="19" t="e">
        <f>INDEX(E3_Comisiones!$A$6:$A$10,MATCH(1,(E3_Comisiones!$B$6:$B$10=C5)*(COUNTIF($B$4:B4,E3_Comisiones!$A$6:$A$10)=0),0))</f>
        <v>#VALUE!</v>
      </c>
      <c r="C5" s="20">
        <f>LARGE(E3_Comisiones!$B$6:$B$10,A5)</f>
        <v>41997850</v>
      </c>
      <c r="D5" s="2"/>
      <c r="E5" s="2"/>
      <c r="F5" s="22">
        <v>1</v>
      </c>
      <c r="G5" s="19" t="e">
        <f>INDEX(Catálogo!$B$5:$B$16,MATCH(1,(SUMIF(Ventas!$E$5:$E$84,Catálogo!$A$5:$A$16,Ventas!$F$5:$F$84)=H5)*(COUNTIF($G$4:G4,Catálogo!$B$5:$B$16)=0),0))</f>
        <v>#N/A</v>
      </c>
      <c r="H5" s="19">
        <f>LARGE(SUMIF(Ventas!$E$5:$E$84,Catálogo!$A$5:$A$16,Ventas!$F$5:$F$84),F5)</f>
        <v>28</v>
      </c>
    </row>
    <row r="6" spans="1:8" x14ac:dyDescent="0.25">
      <c r="A6" s="22">
        <v>2</v>
      </c>
      <c r="B6" s="19" t="e">
        <f>INDEX(E3_Comisiones!$A$6:$A$10,MATCH(1,(E3_Comisiones!$B$6:$B$10=C6)*(COUNTIF($B$4:B5,E3_Comisiones!$A$6:$A$10)=0),0))</f>
        <v>#N/A</v>
      </c>
      <c r="C6" s="20">
        <f>LARGE(E3_Comisiones!$B$6:$B$10,A6)</f>
        <v>36026260</v>
      </c>
      <c r="D6" s="2"/>
      <c r="E6" s="2"/>
      <c r="F6" s="22">
        <v>2</v>
      </c>
      <c r="G6" s="19"/>
      <c r="H6" s="19" t="e">
        <f>LARGE(SUMIF(Ventas!$E$5:$E$84,Catálogo!$A$5:$A$16,Ventas!$F$5:$F$84),F6)</f>
        <v>#NUM!</v>
      </c>
    </row>
    <row r="7" spans="1:8" x14ac:dyDescent="0.25">
      <c r="A7" s="22">
        <v>3</v>
      </c>
      <c r="B7" s="19" t="e">
        <f>INDEX(E3_Comisiones!$A$6:$A$10,MATCH(1,(E3_Comisiones!$B$6:$B$10=C7)*(COUNTIF($B$4:B6,E3_Comisiones!$A$6:$A$10)=0),0))</f>
        <v>#N/A</v>
      </c>
      <c r="C7" s="20">
        <f>LARGE(E3_Comisiones!$B$6:$B$10,A7)</f>
        <v>29432360</v>
      </c>
      <c r="D7" s="2"/>
      <c r="E7" s="2"/>
      <c r="F7" s="22">
        <v>3</v>
      </c>
      <c r="G7" s="19"/>
      <c r="H7" s="19" t="e">
        <f>LARGE(SUMIF(Ventas!$E$5:$E$84,Catálogo!$A$5:$A$16,Ventas!$F$5:$F$84),F7)</f>
        <v>#NUM!</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2"/>
  <sheetViews>
    <sheetView workbookViewId="0">
      <selection activeCell="G18" sqref="G18"/>
    </sheetView>
  </sheetViews>
  <sheetFormatPr baseColWidth="10" defaultColWidth="9.140625" defaultRowHeight="15" x14ac:dyDescent="0.25"/>
  <cols>
    <col min="1" max="1" width="13" customWidth="1"/>
    <col min="2" max="2" width="28" customWidth="1"/>
  </cols>
  <sheetData>
    <row r="1" spans="1:2" ht="18" x14ac:dyDescent="0.25">
      <c r="A1" s="1" t="s">
        <v>284</v>
      </c>
      <c r="B1" s="2"/>
    </row>
    <row r="2" spans="1:2" x14ac:dyDescent="0.25">
      <c r="A2" s="3" t="s">
        <v>285</v>
      </c>
      <c r="B2" s="2"/>
    </row>
    <row r="3" spans="1:2" x14ac:dyDescent="0.25">
      <c r="A3" s="2"/>
      <c r="B3" s="2"/>
    </row>
    <row r="4" spans="1:2" x14ac:dyDescent="0.25">
      <c r="A4" s="7" t="s">
        <v>97</v>
      </c>
      <c r="B4" s="7" t="s">
        <v>286</v>
      </c>
    </row>
    <row r="5" spans="1:2" x14ac:dyDescent="0.25">
      <c r="A5" s="18">
        <v>46023</v>
      </c>
      <c r="B5" s="14" t="s">
        <v>287</v>
      </c>
    </row>
    <row r="6" spans="1:2" x14ac:dyDescent="0.25">
      <c r="A6" s="18">
        <v>46034</v>
      </c>
      <c r="B6" s="14" t="s">
        <v>288</v>
      </c>
    </row>
    <row r="7" spans="1:2" x14ac:dyDescent="0.25">
      <c r="A7" s="18">
        <v>46104</v>
      </c>
      <c r="B7" s="14" t="s">
        <v>289</v>
      </c>
    </row>
    <row r="8" spans="1:2" x14ac:dyDescent="0.25">
      <c r="A8" s="18">
        <v>46114</v>
      </c>
      <c r="B8" s="14" t="s">
        <v>290</v>
      </c>
    </row>
    <row r="9" spans="1:2" x14ac:dyDescent="0.25">
      <c r="A9" s="18">
        <v>46115</v>
      </c>
      <c r="B9" s="14" t="s">
        <v>291</v>
      </c>
    </row>
    <row r="10" spans="1:2" x14ac:dyDescent="0.25">
      <c r="A10" s="18">
        <v>46143</v>
      </c>
      <c r="B10" s="14" t="s">
        <v>292</v>
      </c>
    </row>
    <row r="11" spans="1:2" x14ac:dyDescent="0.25">
      <c r="A11" s="18">
        <v>46160</v>
      </c>
      <c r="B11" s="14" t="s">
        <v>293</v>
      </c>
    </row>
    <row r="12" spans="1:2" x14ac:dyDescent="0.25">
      <c r="A12" s="18">
        <v>46181</v>
      </c>
      <c r="B12" s="14" t="s">
        <v>294</v>
      </c>
    </row>
    <row r="13" spans="1:2" x14ac:dyDescent="0.25">
      <c r="A13" s="18">
        <v>46188</v>
      </c>
      <c r="B13" s="14" t="s">
        <v>295</v>
      </c>
    </row>
    <row r="14" spans="1:2" x14ac:dyDescent="0.25">
      <c r="A14" s="18">
        <v>46202</v>
      </c>
      <c r="B14" s="14" t="s">
        <v>296</v>
      </c>
    </row>
    <row r="15" spans="1:2" x14ac:dyDescent="0.25">
      <c r="A15" s="18">
        <v>46223</v>
      </c>
      <c r="B15" s="14" t="s">
        <v>297</v>
      </c>
    </row>
    <row r="16" spans="1:2" x14ac:dyDescent="0.25">
      <c r="A16" s="18">
        <v>46241</v>
      </c>
      <c r="B16" s="14" t="s">
        <v>298</v>
      </c>
    </row>
    <row r="17" spans="1:2" x14ac:dyDescent="0.25">
      <c r="A17" s="18">
        <v>46251</v>
      </c>
      <c r="B17" s="14" t="s">
        <v>299</v>
      </c>
    </row>
    <row r="18" spans="1:2" x14ac:dyDescent="0.25">
      <c r="A18" s="18">
        <v>46307</v>
      </c>
      <c r="B18" s="14" t="s">
        <v>300</v>
      </c>
    </row>
    <row r="19" spans="1:2" x14ac:dyDescent="0.25">
      <c r="A19" s="18">
        <v>46328</v>
      </c>
      <c r="B19" s="14" t="s">
        <v>301</v>
      </c>
    </row>
    <row r="20" spans="1:2" x14ac:dyDescent="0.25">
      <c r="A20" s="18">
        <v>46342</v>
      </c>
      <c r="B20" s="14" t="s">
        <v>302</v>
      </c>
    </row>
    <row r="21" spans="1:2" x14ac:dyDescent="0.25">
      <c r="A21" s="18">
        <v>46364</v>
      </c>
      <c r="B21" s="14" t="s">
        <v>303</v>
      </c>
    </row>
    <row r="22" spans="1:2" x14ac:dyDescent="0.25">
      <c r="A22" s="18">
        <v>46381</v>
      </c>
      <c r="B22" s="14" t="s">
        <v>304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2"/>
  <sheetViews>
    <sheetView workbookViewId="0">
      <selection activeCell="K6" sqref="K6:K9"/>
    </sheetView>
  </sheetViews>
  <sheetFormatPr baseColWidth="10" defaultColWidth="9.140625" defaultRowHeight="15" x14ac:dyDescent="0.25"/>
  <cols>
    <col min="1" max="1" width="10" customWidth="1"/>
    <col min="2" max="2" width="12" customWidth="1"/>
    <col min="3" max="3" width="14" customWidth="1"/>
    <col min="4" max="4" width="12" customWidth="1"/>
    <col min="5" max="6" width="14" customWidth="1"/>
    <col min="7" max="8" width="12" customWidth="1"/>
    <col min="10" max="10" width="13" customWidth="1"/>
    <col min="11" max="11" width="12" customWidth="1"/>
  </cols>
  <sheetData>
    <row r="1" spans="1:11" ht="18" x14ac:dyDescent="0.25">
      <c r="A1" s="1" t="s">
        <v>305</v>
      </c>
      <c r="B1" s="2"/>
      <c r="C1" s="2"/>
      <c r="D1" s="2"/>
      <c r="E1" s="2"/>
      <c r="F1" s="2"/>
      <c r="G1" s="2"/>
      <c r="H1" s="2"/>
      <c r="I1" s="2"/>
      <c r="J1" s="2"/>
      <c r="K1" s="2"/>
    </row>
    <row r="2" spans="1:11" x14ac:dyDescent="0.25">
      <c r="A2" s="2"/>
      <c r="B2" s="2"/>
      <c r="C2" s="2"/>
      <c r="D2" s="2"/>
      <c r="E2" s="2"/>
      <c r="F2" s="2"/>
      <c r="G2" s="2"/>
      <c r="H2" s="2"/>
      <c r="I2" s="2"/>
      <c r="J2" s="2"/>
      <c r="K2" s="2"/>
    </row>
    <row r="3" spans="1:11" x14ac:dyDescent="0.25">
      <c r="A3" s="2"/>
      <c r="B3" s="2"/>
      <c r="C3" s="2"/>
      <c r="D3" s="2"/>
      <c r="E3" s="2"/>
      <c r="F3" s="2"/>
      <c r="G3" s="2"/>
      <c r="H3" s="2"/>
      <c r="I3" s="2"/>
      <c r="J3" s="2"/>
      <c r="K3" s="2"/>
    </row>
    <row r="4" spans="1:11" ht="45" x14ac:dyDescent="0.25">
      <c r="A4" s="7" t="s">
        <v>306</v>
      </c>
      <c r="B4" s="7" t="s">
        <v>99</v>
      </c>
      <c r="C4" s="7" t="s">
        <v>307</v>
      </c>
      <c r="D4" s="7" t="s">
        <v>308</v>
      </c>
      <c r="E4" s="7" t="s">
        <v>309</v>
      </c>
      <c r="F4" s="17" t="s">
        <v>310</v>
      </c>
      <c r="G4" s="17" t="s">
        <v>311</v>
      </c>
      <c r="H4" s="17" t="s">
        <v>312</v>
      </c>
      <c r="I4" s="2"/>
      <c r="J4" s="4" t="s">
        <v>313</v>
      </c>
      <c r="K4" s="2"/>
    </row>
    <row r="5" spans="1:11" ht="30" x14ac:dyDescent="0.25">
      <c r="A5" s="14" t="s">
        <v>314</v>
      </c>
      <c r="B5" s="14" t="s">
        <v>104</v>
      </c>
      <c r="C5" s="18">
        <v>46115</v>
      </c>
      <c r="D5" s="14">
        <v>8</v>
      </c>
      <c r="E5" s="18">
        <v>46128</v>
      </c>
      <c r="F5" s="27">
        <f>WORKDAY(C5,D5,Festivos!$A$5:$A$22)</f>
        <v>46127</v>
      </c>
      <c r="G5" s="19">
        <f>IF(E5="","",NETWORKDAYS(C5,E5,Festivos!$A$5:$A$22)-1)</f>
        <v>8</v>
      </c>
      <c r="H5" s="19" t="str">
        <f>IF(E5="","Pendiente",IF(E5&gt;F5,"Retrasado","A tiempo"))</f>
        <v>Retrasado</v>
      </c>
      <c r="I5" s="2"/>
      <c r="J5" s="7" t="s">
        <v>99</v>
      </c>
      <c r="K5" s="7" t="s">
        <v>315</v>
      </c>
    </row>
    <row r="6" spans="1:11" x14ac:dyDescent="0.25">
      <c r="A6" s="14" t="s">
        <v>316</v>
      </c>
      <c r="B6" s="14" t="s">
        <v>107</v>
      </c>
      <c r="C6" s="18">
        <v>46167</v>
      </c>
      <c r="D6" s="14">
        <v>3</v>
      </c>
      <c r="E6" s="18">
        <v>46170</v>
      </c>
      <c r="F6" s="27">
        <f>WORKDAY(C6,D6,Festivos!$A$5:$A$22)</f>
        <v>46170</v>
      </c>
      <c r="G6" s="19">
        <f>IF(E6="","",NETWORKDAYS(C6,E6,Festivos!$A$5:$A$22)-1)</f>
        <v>3</v>
      </c>
      <c r="H6" s="19" t="str">
        <f t="shared" ref="H6:H22" si="0">IF(E6="","Pendiente",IF(E6&gt;F6,"Retrasado","A tiempo"))</f>
        <v>A tiempo</v>
      </c>
      <c r="I6" s="2"/>
      <c r="J6" s="14" t="s">
        <v>107</v>
      </c>
      <c r="K6" s="19">
        <f>COUNTIFS($B$5:$B$22,J6,$H$5:$H$22,"Retrasado")</f>
        <v>2</v>
      </c>
    </row>
    <row r="7" spans="1:11" x14ac:dyDescent="0.25">
      <c r="A7" s="14" t="s">
        <v>317</v>
      </c>
      <c r="B7" s="14" t="s">
        <v>104</v>
      </c>
      <c r="C7" s="18">
        <v>46111</v>
      </c>
      <c r="D7" s="14">
        <v>3</v>
      </c>
      <c r="E7" s="18">
        <v>46120</v>
      </c>
      <c r="F7" s="27">
        <f>WORKDAY(C7,D7,Festivos!$A$5:$A$22)</f>
        <v>46118</v>
      </c>
      <c r="G7" s="19">
        <f>IF(E7="","",NETWORKDAYS(C7,E7,Festivos!$A$5:$A$22)-1)</f>
        <v>5</v>
      </c>
      <c r="H7" s="19" t="str">
        <f t="shared" si="0"/>
        <v>Retrasado</v>
      </c>
      <c r="I7" s="2"/>
      <c r="J7" s="14" t="s">
        <v>104</v>
      </c>
      <c r="K7" s="19">
        <f t="shared" ref="K7:K9" si="1">COUNTIFS($B$5:$B$22,J7,$H$5:$H$22,"Retrasado")</f>
        <v>6</v>
      </c>
    </row>
    <row r="8" spans="1:11" x14ac:dyDescent="0.25">
      <c r="A8" s="14" t="s">
        <v>318</v>
      </c>
      <c r="B8" s="14" t="s">
        <v>104</v>
      </c>
      <c r="C8" s="18">
        <v>46125</v>
      </c>
      <c r="D8" s="14">
        <v>2</v>
      </c>
      <c r="E8" s="18">
        <v>46131</v>
      </c>
      <c r="F8" s="27">
        <f>WORKDAY(C8,D8,Festivos!$A$5:$A$22)</f>
        <v>46127</v>
      </c>
      <c r="G8" s="19">
        <f>IF(E8="","",NETWORKDAYS(C8,E8,Festivos!$A$5:$A$22)-1)</f>
        <v>4</v>
      </c>
      <c r="H8" s="19" t="str">
        <f t="shared" si="0"/>
        <v>Retrasado</v>
      </c>
      <c r="I8" s="2"/>
      <c r="J8" s="14" t="s">
        <v>129</v>
      </c>
      <c r="K8" s="19">
        <f t="shared" si="1"/>
        <v>0</v>
      </c>
    </row>
    <row r="9" spans="1:11" x14ac:dyDescent="0.25">
      <c r="A9" s="14" t="s">
        <v>319</v>
      </c>
      <c r="B9" s="14" t="s">
        <v>129</v>
      </c>
      <c r="C9" s="18">
        <v>46134</v>
      </c>
      <c r="D9" s="14">
        <v>3</v>
      </c>
      <c r="E9" s="18"/>
      <c r="F9" s="27">
        <f>WORKDAY(C9,D9,Festivos!$A$5:$A$22)</f>
        <v>46139</v>
      </c>
      <c r="G9" s="19" t="str">
        <f>IF(E9="","",NETWORKDAYS(C9,E9,Festivos!$A$5:$A$22)-1)</f>
        <v/>
      </c>
      <c r="H9" s="19" t="str">
        <f t="shared" si="0"/>
        <v>Pendiente</v>
      </c>
      <c r="I9" s="2"/>
      <c r="J9" s="14" t="s">
        <v>115</v>
      </c>
      <c r="K9" s="19">
        <f t="shared" si="1"/>
        <v>1</v>
      </c>
    </row>
    <row r="10" spans="1:11" x14ac:dyDescent="0.25">
      <c r="A10" s="14" t="s">
        <v>320</v>
      </c>
      <c r="B10" s="14" t="s">
        <v>107</v>
      </c>
      <c r="C10" s="18">
        <v>46132</v>
      </c>
      <c r="D10" s="14">
        <v>8</v>
      </c>
      <c r="E10" s="18">
        <v>46142</v>
      </c>
      <c r="F10" s="27">
        <f>WORKDAY(C10,D10,Festivos!$A$5:$A$22)</f>
        <v>46142</v>
      </c>
      <c r="G10" s="19">
        <f>IF(E10="","",NETWORKDAYS(C10,E10,Festivos!$A$5:$A$22)-1)</f>
        <v>8</v>
      </c>
      <c r="H10" s="19" t="str">
        <f t="shared" si="0"/>
        <v>A tiempo</v>
      </c>
      <c r="I10" s="2"/>
      <c r="J10" s="2"/>
      <c r="K10" s="2"/>
    </row>
    <row r="11" spans="1:11" x14ac:dyDescent="0.25">
      <c r="A11" s="14" t="s">
        <v>321</v>
      </c>
      <c r="B11" s="14" t="s">
        <v>104</v>
      </c>
      <c r="C11" s="18">
        <v>46142</v>
      </c>
      <c r="D11" s="14">
        <v>8</v>
      </c>
      <c r="E11" s="18">
        <v>46156</v>
      </c>
      <c r="F11" s="27">
        <f>WORKDAY(C11,D11,Festivos!$A$5:$A$22)</f>
        <v>46155</v>
      </c>
      <c r="G11" s="19">
        <f>IF(E11="","",NETWORKDAYS(C11,E11,Festivos!$A$5:$A$22)-1)</f>
        <v>9</v>
      </c>
      <c r="H11" s="19" t="str">
        <f t="shared" si="0"/>
        <v>Retrasado</v>
      </c>
      <c r="I11" s="2"/>
      <c r="J11" s="2"/>
      <c r="K11" s="2"/>
    </row>
    <row r="12" spans="1:11" x14ac:dyDescent="0.25">
      <c r="A12" s="14" t="s">
        <v>322</v>
      </c>
      <c r="B12" s="14" t="s">
        <v>115</v>
      </c>
      <c r="C12" s="18">
        <v>46167</v>
      </c>
      <c r="D12" s="14">
        <v>3</v>
      </c>
      <c r="E12" s="18">
        <v>46170</v>
      </c>
      <c r="F12" s="27">
        <f>WORKDAY(C12,D12,Festivos!$A$5:$A$22)</f>
        <v>46170</v>
      </c>
      <c r="G12" s="19">
        <f>IF(E12="","",NETWORKDAYS(C12,E12,Festivos!$A$5:$A$22)-1)</f>
        <v>3</v>
      </c>
      <c r="H12" s="19" t="str">
        <f t="shared" si="0"/>
        <v>A tiempo</v>
      </c>
      <c r="I12" s="2"/>
      <c r="J12" s="2"/>
      <c r="K12" s="2"/>
    </row>
    <row r="13" spans="1:11" x14ac:dyDescent="0.25">
      <c r="A13" s="14" t="s">
        <v>323</v>
      </c>
      <c r="B13" s="14" t="s">
        <v>104</v>
      </c>
      <c r="C13" s="18">
        <v>46120</v>
      </c>
      <c r="D13" s="14">
        <v>2</v>
      </c>
      <c r="E13" s="18">
        <v>46124</v>
      </c>
      <c r="F13" s="27">
        <f>WORKDAY(C13,D13,Festivos!$A$5:$A$22)</f>
        <v>46122</v>
      </c>
      <c r="G13" s="19">
        <f>IF(E13="","",NETWORKDAYS(C13,E13,Festivos!$A$5:$A$22)-1)</f>
        <v>2</v>
      </c>
      <c r="H13" s="19" t="str">
        <f t="shared" si="0"/>
        <v>Retrasado</v>
      </c>
      <c r="I13" s="2"/>
      <c r="J13" s="2"/>
      <c r="K13" s="2"/>
    </row>
    <row r="14" spans="1:11" x14ac:dyDescent="0.25">
      <c r="A14" s="14" t="s">
        <v>324</v>
      </c>
      <c r="B14" s="14" t="s">
        <v>107</v>
      </c>
      <c r="C14" s="18">
        <v>46115</v>
      </c>
      <c r="D14" s="14">
        <v>8</v>
      </c>
      <c r="E14" s="18">
        <v>46124</v>
      </c>
      <c r="F14" s="27">
        <f>WORKDAY(C14,D14,Festivos!$A$5:$A$22)</f>
        <v>46127</v>
      </c>
      <c r="G14" s="19">
        <f>IF(E14="","",NETWORKDAYS(C14,E14,Festivos!$A$5:$A$22)-1)</f>
        <v>4</v>
      </c>
      <c r="H14" s="19" t="str">
        <f t="shared" si="0"/>
        <v>A tiempo</v>
      </c>
      <c r="I14" s="2"/>
      <c r="J14" s="2"/>
      <c r="K14" s="2"/>
    </row>
    <row r="15" spans="1:11" x14ac:dyDescent="0.25">
      <c r="A15" s="14" t="s">
        <v>325</v>
      </c>
      <c r="B15" s="14" t="s">
        <v>107</v>
      </c>
      <c r="C15" s="18">
        <v>46139</v>
      </c>
      <c r="D15" s="14">
        <v>8</v>
      </c>
      <c r="E15" s="18">
        <v>46148</v>
      </c>
      <c r="F15" s="27">
        <f>WORKDAY(C15,D15,Festivos!$A$5:$A$22)</f>
        <v>46150</v>
      </c>
      <c r="G15" s="19">
        <f>IF(E15="","",NETWORKDAYS(C15,E15,Festivos!$A$5:$A$22)-1)</f>
        <v>6</v>
      </c>
      <c r="H15" s="19" t="str">
        <f t="shared" si="0"/>
        <v>A tiempo</v>
      </c>
      <c r="I15" s="2"/>
      <c r="J15" s="2"/>
      <c r="K15" s="2"/>
    </row>
    <row r="16" spans="1:11" x14ac:dyDescent="0.25">
      <c r="A16" s="14" t="s">
        <v>326</v>
      </c>
      <c r="B16" s="14" t="s">
        <v>129</v>
      </c>
      <c r="C16" s="18">
        <v>46128</v>
      </c>
      <c r="D16" s="14">
        <v>3</v>
      </c>
      <c r="E16" s="18"/>
      <c r="F16" s="27">
        <f>WORKDAY(C16,D16,Festivos!$A$5:$A$22)</f>
        <v>46133</v>
      </c>
      <c r="G16" s="19" t="str">
        <f>IF(E16="","",NETWORKDAYS(C16,E16,Festivos!$A$5:$A$22)-1)</f>
        <v/>
      </c>
      <c r="H16" s="19" t="str">
        <f t="shared" si="0"/>
        <v>Pendiente</v>
      </c>
      <c r="I16" s="2"/>
      <c r="J16" s="2"/>
      <c r="K16" s="2"/>
    </row>
    <row r="17" spans="1:11" x14ac:dyDescent="0.25">
      <c r="A17" s="14" t="s">
        <v>327</v>
      </c>
      <c r="B17" s="14" t="s">
        <v>107</v>
      </c>
      <c r="C17" s="18">
        <v>46104</v>
      </c>
      <c r="D17" s="14">
        <v>2</v>
      </c>
      <c r="E17" s="18">
        <v>46113</v>
      </c>
      <c r="F17" s="27">
        <f>WORKDAY(C17,D17,Festivos!$A$5:$A$22)</f>
        <v>46106</v>
      </c>
      <c r="G17" s="19">
        <f>IF(E17="","",NETWORKDAYS(C17,E17,Festivos!$A$5:$A$22)-1)</f>
        <v>6</v>
      </c>
      <c r="H17" s="19" t="str">
        <f t="shared" si="0"/>
        <v>Retrasado</v>
      </c>
      <c r="I17" s="2"/>
      <c r="J17" s="2"/>
      <c r="K17" s="2"/>
    </row>
    <row r="18" spans="1:11" x14ac:dyDescent="0.25">
      <c r="A18" s="14" t="s">
        <v>328</v>
      </c>
      <c r="B18" s="14" t="s">
        <v>104</v>
      </c>
      <c r="C18" s="18">
        <v>46105</v>
      </c>
      <c r="D18" s="14">
        <v>8</v>
      </c>
      <c r="E18" s="18">
        <v>46118</v>
      </c>
      <c r="F18" s="27">
        <f>WORKDAY(C18,D18,Festivos!$A$5:$A$22)</f>
        <v>46119</v>
      </c>
      <c r="G18" s="19">
        <f>IF(E18="","",NETWORKDAYS(C18,E18,Festivos!$A$5:$A$22)-1)</f>
        <v>7</v>
      </c>
      <c r="H18" s="19" t="str">
        <f t="shared" si="0"/>
        <v>A tiempo</v>
      </c>
      <c r="I18" s="2"/>
      <c r="J18" s="2"/>
      <c r="K18" s="2"/>
    </row>
    <row r="19" spans="1:11" x14ac:dyDescent="0.25">
      <c r="A19" s="14" t="s">
        <v>329</v>
      </c>
      <c r="B19" s="14" t="s">
        <v>104</v>
      </c>
      <c r="C19" s="18">
        <v>46132</v>
      </c>
      <c r="D19" s="14">
        <v>8</v>
      </c>
      <c r="E19" s="18">
        <v>46147</v>
      </c>
      <c r="F19" s="27">
        <f>WORKDAY(C19,D19,Festivos!$A$5:$A$22)</f>
        <v>46142</v>
      </c>
      <c r="G19" s="19">
        <f>IF(E19="","",NETWORKDAYS(C19,E19,Festivos!$A$5:$A$22)-1)</f>
        <v>10</v>
      </c>
      <c r="H19" s="19" t="str">
        <f t="shared" si="0"/>
        <v>Retrasado</v>
      </c>
      <c r="I19" s="2"/>
      <c r="J19" s="2"/>
      <c r="K19" s="2"/>
    </row>
    <row r="20" spans="1:11" x14ac:dyDescent="0.25">
      <c r="A20" s="14" t="s">
        <v>330</v>
      </c>
      <c r="B20" s="14" t="s">
        <v>115</v>
      </c>
      <c r="C20" s="18">
        <v>46163</v>
      </c>
      <c r="D20" s="14">
        <v>5</v>
      </c>
      <c r="E20" s="18">
        <v>46171</v>
      </c>
      <c r="F20" s="27">
        <f>WORKDAY(C20,D20,Festivos!$A$5:$A$22)</f>
        <v>46170</v>
      </c>
      <c r="G20" s="19">
        <f>IF(E20="","",NETWORKDAYS(C20,E20,Festivos!$A$5:$A$22)-1)</f>
        <v>6</v>
      </c>
      <c r="H20" s="19" t="str">
        <f t="shared" si="0"/>
        <v>Retrasado</v>
      </c>
      <c r="I20" s="2"/>
      <c r="J20" s="2"/>
      <c r="K20" s="2"/>
    </row>
    <row r="21" spans="1:11" x14ac:dyDescent="0.25">
      <c r="A21" s="14" t="s">
        <v>331</v>
      </c>
      <c r="B21" s="14" t="s">
        <v>107</v>
      </c>
      <c r="C21" s="18">
        <v>46114</v>
      </c>
      <c r="D21" s="14">
        <v>8</v>
      </c>
      <c r="E21" s="18"/>
      <c r="F21" s="27">
        <f>WORKDAY(C21,D21,Festivos!$A$5:$A$22)</f>
        <v>46127</v>
      </c>
      <c r="G21" s="19" t="str">
        <f>IF(E21="","",NETWORKDAYS(C21,E21,Festivos!$A$5:$A$22)-1)</f>
        <v/>
      </c>
      <c r="H21" s="19" t="str">
        <f t="shared" si="0"/>
        <v>Pendiente</v>
      </c>
      <c r="I21" s="2"/>
      <c r="J21" s="2"/>
      <c r="K21" s="2"/>
    </row>
    <row r="22" spans="1:11" x14ac:dyDescent="0.25">
      <c r="A22" s="14" t="s">
        <v>332</v>
      </c>
      <c r="B22" s="14" t="s">
        <v>107</v>
      </c>
      <c r="C22" s="18">
        <v>46147</v>
      </c>
      <c r="D22" s="14">
        <v>8</v>
      </c>
      <c r="E22" s="18">
        <v>46160</v>
      </c>
      <c r="F22" s="27">
        <f>WORKDAY(C22,D22,Festivos!$A$5:$A$22)</f>
        <v>46157</v>
      </c>
      <c r="G22" s="19">
        <f>IF(E22="","",NETWORKDAYS(C22,E22,Festivos!$A$5:$A$22)-1)</f>
        <v>8</v>
      </c>
      <c r="H22" s="19" t="str">
        <f t="shared" si="0"/>
        <v>Retrasado</v>
      </c>
      <c r="I22" s="2"/>
      <c r="J22" s="2"/>
      <c r="K22" s="2"/>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2"/>
  <sheetViews>
    <sheetView tabSelected="1" workbookViewId="0">
      <selection activeCell="B5" sqref="B5"/>
    </sheetView>
  </sheetViews>
  <sheetFormatPr baseColWidth="10" defaultColWidth="9.140625" defaultRowHeight="15" x14ac:dyDescent="0.25"/>
  <cols>
    <col min="1" max="1" width="26" customWidth="1"/>
    <col min="2" max="2" width="24" customWidth="1"/>
  </cols>
  <sheetData>
    <row r="1" spans="1:2" ht="18" x14ac:dyDescent="0.25">
      <c r="A1" s="1" t="s">
        <v>333</v>
      </c>
      <c r="B1" s="2"/>
    </row>
    <row r="2" spans="1:2" x14ac:dyDescent="0.25">
      <c r="A2" s="2"/>
      <c r="B2" s="2"/>
    </row>
    <row r="3" spans="1:2" x14ac:dyDescent="0.25">
      <c r="A3" s="2"/>
      <c r="B3" s="2"/>
    </row>
    <row r="4" spans="1:2" x14ac:dyDescent="0.25">
      <c r="A4" s="22" t="s">
        <v>98</v>
      </c>
      <c r="B4" s="19"/>
    </row>
    <row r="5" spans="1:2" x14ac:dyDescent="0.25">
      <c r="A5" s="22" t="s">
        <v>334</v>
      </c>
      <c r="B5" s="19"/>
    </row>
    <row r="6" spans="1:2" x14ac:dyDescent="0.25">
      <c r="A6" s="2"/>
      <c r="B6" s="2"/>
    </row>
    <row r="7" spans="1:2" x14ac:dyDescent="0.25">
      <c r="A7" s="22" t="s">
        <v>282</v>
      </c>
      <c r="B7" s="20">
        <f>SUMIFS(Ventas!$I$5:$I$84,Ventas!$C$5:$C$84,$B$4,Ventas!$B$5:$B$84,"&gt;="&amp;DATE(2026,$B$5,1),Ventas!$B$5:$B$84,"&lt;"&amp;DATE(2026,$B$5+1,1))</f>
        <v>0</v>
      </c>
    </row>
    <row r="8" spans="1:2" x14ac:dyDescent="0.25">
      <c r="A8" s="22" t="s">
        <v>335</v>
      </c>
      <c r="B8" s="24"/>
    </row>
    <row r="9" spans="1:2" x14ac:dyDescent="0.25">
      <c r="A9" s="22" t="s">
        <v>336</v>
      </c>
      <c r="B9" s="24"/>
    </row>
    <row r="10" spans="1:2" x14ac:dyDescent="0.25">
      <c r="A10" s="22" t="s">
        <v>337</v>
      </c>
      <c r="B10" s="20"/>
    </row>
    <row r="11" spans="1:2" x14ac:dyDescent="0.25">
      <c r="A11" s="22" t="s">
        <v>338</v>
      </c>
      <c r="B11" s="19"/>
    </row>
    <row r="12" spans="1:2" x14ac:dyDescent="0.25">
      <c r="A12" s="22" t="s">
        <v>339</v>
      </c>
      <c r="B12" s="2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9"/>
  <sheetViews>
    <sheetView workbookViewId="0">
      <selection activeCell="C23" sqref="C23"/>
    </sheetView>
  </sheetViews>
  <sheetFormatPr baseColWidth="10" defaultColWidth="9.140625" defaultRowHeight="15" x14ac:dyDescent="0.25"/>
  <cols>
    <col min="1" max="1" width="32" customWidth="1"/>
    <col min="2" max="2" width="17" customWidth="1"/>
    <col min="3" max="4" width="15" customWidth="1"/>
    <col min="5" max="6" width="16" customWidth="1"/>
  </cols>
  <sheetData>
    <row r="1" spans="1:8" ht="18" x14ac:dyDescent="0.25">
      <c r="A1" s="1" t="s">
        <v>340</v>
      </c>
      <c r="B1" s="2"/>
      <c r="C1" s="2"/>
      <c r="D1" s="2"/>
      <c r="E1" s="2"/>
      <c r="F1" s="2"/>
      <c r="G1" s="2"/>
      <c r="H1" s="2"/>
    </row>
    <row r="2" spans="1:8" x14ac:dyDescent="0.25">
      <c r="A2" s="2"/>
      <c r="B2" s="2"/>
      <c r="C2" s="2"/>
      <c r="D2" s="2"/>
      <c r="E2" s="2"/>
      <c r="F2" s="2"/>
      <c r="G2" s="2"/>
      <c r="H2" s="2"/>
    </row>
    <row r="3" spans="1:8" x14ac:dyDescent="0.25">
      <c r="A3" s="22" t="s">
        <v>341</v>
      </c>
      <c r="B3" s="15">
        <v>25000000</v>
      </c>
      <c r="C3" s="2"/>
      <c r="D3" s="2"/>
      <c r="E3" s="2"/>
      <c r="F3" s="2"/>
      <c r="G3" s="2"/>
      <c r="H3" s="2"/>
    </row>
    <row r="4" spans="1:8" x14ac:dyDescent="0.25">
      <c r="A4" s="22" t="s">
        <v>342</v>
      </c>
      <c r="B4" s="28">
        <v>0.245</v>
      </c>
      <c r="C4" s="2"/>
      <c r="D4" s="2"/>
      <c r="E4" s="2"/>
      <c r="F4" s="2"/>
      <c r="G4" s="2"/>
      <c r="H4" s="2"/>
    </row>
    <row r="5" spans="1:8" x14ac:dyDescent="0.25">
      <c r="A5" s="22" t="s">
        <v>343</v>
      </c>
      <c r="B5" s="29">
        <v>36</v>
      </c>
      <c r="C5" s="2"/>
      <c r="D5" s="2"/>
      <c r="E5" s="2"/>
      <c r="F5" s="2"/>
      <c r="G5" s="2"/>
      <c r="H5" s="2"/>
    </row>
    <row r="6" spans="1:8" x14ac:dyDescent="0.25">
      <c r="A6" s="22" t="s">
        <v>344</v>
      </c>
      <c r="B6" s="30">
        <f>(1+B4)^(1/12)-1</f>
        <v>1.8429051189551959E-2</v>
      </c>
      <c r="C6" s="2"/>
      <c r="D6" s="2"/>
      <c r="E6" s="2"/>
      <c r="F6" s="2"/>
      <c r="G6" s="2"/>
      <c r="H6" s="2"/>
    </row>
    <row r="7" spans="1:8" x14ac:dyDescent="0.25">
      <c r="A7" s="22" t="s">
        <v>345</v>
      </c>
      <c r="B7" s="31">
        <f>PMT(B6,B5,-B3)</f>
        <v>956247.50226178591</v>
      </c>
      <c r="C7" s="2"/>
      <c r="D7" s="2"/>
      <c r="E7" s="2"/>
      <c r="F7" s="2"/>
      <c r="G7" s="2"/>
      <c r="H7" s="2"/>
    </row>
    <row r="8" spans="1:8" x14ac:dyDescent="0.25">
      <c r="A8" s="22" t="s">
        <v>346</v>
      </c>
      <c r="B8" s="15">
        <v>6000000</v>
      </c>
      <c r="C8" s="2"/>
      <c r="D8" s="2"/>
      <c r="E8" s="2"/>
      <c r="F8" s="2"/>
      <c r="G8" s="2"/>
      <c r="H8" s="2"/>
    </row>
    <row r="9" spans="1:8" x14ac:dyDescent="0.25">
      <c r="A9" s="22" t="s">
        <v>347</v>
      </c>
      <c r="B9" s="29">
        <v>10</v>
      </c>
      <c r="C9" s="2"/>
      <c r="D9" s="2"/>
      <c r="E9" s="2"/>
      <c r="F9" s="2"/>
      <c r="G9" s="2"/>
      <c r="H9" s="2"/>
    </row>
    <row r="10" spans="1:8" x14ac:dyDescent="0.25">
      <c r="A10" s="22" t="s">
        <v>348</v>
      </c>
      <c r="B10" s="24"/>
      <c r="C10" s="2"/>
      <c r="D10" s="2"/>
      <c r="E10" s="2"/>
      <c r="F10" s="2"/>
      <c r="G10" s="2"/>
      <c r="H10" s="2"/>
    </row>
    <row r="11" spans="1:8" x14ac:dyDescent="0.25">
      <c r="A11" s="22" t="s">
        <v>349</v>
      </c>
      <c r="B11" s="20"/>
      <c r="C11" s="2"/>
      <c r="D11" s="2"/>
      <c r="E11" s="2"/>
      <c r="F11" s="2"/>
      <c r="G11" s="2"/>
      <c r="H11" s="2"/>
    </row>
    <row r="12" spans="1:8" x14ac:dyDescent="0.25">
      <c r="A12" s="2"/>
      <c r="B12" s="2"/>
      <c r="C12" s="2"/>
      <c r="D12" s="2"/>
      <c r="E12" s="2"/>
      <c r="F12" s="2"/>
      <c r="G12" s="2"/>
      <c r="H12" s="2"/>
    </row>
    <row r="13" spans="1:8" ht="30" x14ac:dyDescent="0.25">
      <c r="A13" s="7" t="s">
        <v>334</v>
      </c>
      <c r="B13" s="17" t="s">
        <v>350</v>
      </c>
      <c r="C13" s="17" t="s">
        <v>351</v>
      </c>
      <c r="D13" s="17" t="s">
        <v>352</v>
      </c>
      <c r="E13" s="17" t="s">
        <v>353</v>
      </c>
      <c r="F13" s="17" t="s">
        <v>354</v>
      </c>
      <c r="G13" s="2"/>
      <c r="H13" s="6" t="s">
        <v>355</v>
      </c>
    </row>
    <row r="14" spans="1:8" x14ac:dyDescent="0.25">
      <c r="A14" s="14">
        <v>1</v>
      </c>
      <c r="B14" s="20"/>
      <c r="C14" s="20"/>
      <c r="D14" s="20"/>
      <c r="E14" s="20"/>
      <c r="F14" s="20"/>
      <c r="G14" s="2"/>
      <c r="H14" s="2"/>
    </row>
    <row r="15" spans="1:8" x14ac:dyDescent="0.25">
      <c r="A15" s="14">
        <v>2</v>
      </c>
      <c r="B15" s="20"/>
      <c r="C15" s="20"/>
      <c r="D15" s="20"/>
      <c r="E15" s="20"/>
      <c r="F15" s="20"/>
      <c r="G15" s="2"/>
      <c r="H15" s="2"/>
    </row>
    <row r="16" spans="1:8" x14ac:dyDescent="0.25">
      <c r="A16" s="14">
        <v>3</v>
      </c>
      <c r="B16" s="20"/>
      <c r="C16" s="20"/>
      <c r="D16" s="20"/>
      <c r="E16" s="20"/>
      <c r="F16" s="20"/>
      <c r="G16" s="2"/>
      <c r="H16" s="2"/>
    </row>
    <row r="17" spans="1:8" x14ac:dyDescent="0.25">
      <c r="A17" s="14">
        <v>4</v>
      </c>
      <c r="B17" s="20"/>
      <c r="C17" s="20"/>
      <c r="D17" s="20"/>
      <c r="E17" s="20"/>
      <c r="F17" s="20"/>
      <c r="G17" s="2"/>
      <c r="H17" s="2"/>
    </row>
    <row r="18" spans="1:8" x14ac:dyDescent="0.25">
      <c r="A18" s="14">
        <v>5</v>
      </c>
      <c r="B18" s="20"/>
      <c r="C18" s="20"/>
      <c r="D18" s="20"/>
      <c r="E18" s="20"/>
      <c r="F18" s="20"/>
      <c r="G18" s="2"/>
      <c r="H18" s="2"/>
    </row>
    <row r="19" spans="1:8" x14ac:dyDescent="0.25">
      <c r="A19" s="14">
        <v>6</v>
      </c>
      <c r="B19" s="20"/>
      <c r="C19" s="20"/>
      <c r="D19" s="20"/>
      <c r="E19" s="20"/>
      <c r="F19" s="20"/>
      <c r="G19" s="2"/>
      <c r="H19" s="2"/>
    </row>
    <row r="20" spans="1:8" x14ac:dyDescent="0.25">
      <c r="A20" s="14">
        <v>7</v>
      </c>
      <c r="B20" s="20"/>
      <c r="C20" s="20"/>
      <c r="D20" s="20"/>
      <c r="E20" s="20"/>
      <c r="F20" s="20"/>
      <c r="G20" s="2"/>
      <c r="H20" s="2"/>
    </row>
    <row r="21" spans="1:8" x14ac:dyDescent="0.25">
      <c r="A21" s="14">
        <v>8</v>
      </c>
      <c r="B21" s="20"/>
      <c r="C21" s="20"/>
      <c r="D21" s="20"/>
      <c r="E21" s="20"/>
      <c r="F21" s="20"/>
      <c r="G21" s="2"/>
      <c r="H21" s="2"/>
    </row>
    <row r="22" spans="1:8" x14ac:dyDescent="0.25">
      <c r="A22" s="14">
        <v>9</v>
      </c>
      <c r="B22" s="20"/>
      <c r="C22" s="20"/>
      <c r="D22" s="20"/>
      <c r="E22" s="20"/>
      <c r="F22" s="20"/>
      <c r="G22" s="2"/>
      <c r="H22" s="2"/>
    </row>
    <row r="23" spans="1:8" x14ac:dyDescent="0.25">
      <c r="A23" s="14">
        <v>10</v>
      </c>
      <c r="B23" s="20"/>
      <c r="C23" s="20"/>
      <c r="D23" s="20"/>
      <c r="E23" s="20"/>
      <c r="F23" s="20"/>
      <c r="G23" s="2"/>
      <c r="H23" s="2"/>
    </row>
    <row r="24" spans="1:8" x14ac:dyDescent="0.25">
      <c r="A24" s="14">
        <v>11</v>
      </c>
      <c r="B24" s="20"/>
      <c r="C24" s="20"/>
      <c r="D24" s="20"/>
      <c r="E24" s="20"/>
      <c r="F24" s="20"/>
      <c r="G24" s="2"/>
      <c r="H24" s="2"/>
    </row>
    <row r="25" spans="1:8" x14ac:dyDescent="0.25">
      <c r="A25" s="14">
        <v>12</v>
      </c>
      <c r="B25" s="20"/>
      <c r="C25" s="20"/>
      <c r="D25" s="20"/>
      <c r="E25" s="20"/>
      <c r="F25" s="20"/>
      <c r="G25" s="2"/>
      <c r="H25" s="2"/>
    </row>
    <row r="26" spans="1:8" x14ac:dyDescent="0.25">
      <c r="A26" s="14">
        <v>13</v>
      </c>
      <c r="B26" s="20"/>
      <c r="C26" s="20"/>
      <c r="D26" s="20"/>
      <c r="E26" s="20"/>
      <c r="F26" s="20"/>
      <c r="G26" s="2"/>
      <c r="H26" s="2"/>
    </row>
    <row r="27" spans="1:8" x14ac:dyDescent="0.25">
      <c r="A27" s="14">
        <v>14</v>
      </c>
      <c r="B27" s="20"/>
      <c r="C27" s="20"/>
      <c r="D27" s="20"/>
      <c r="E27" s="20"/>
      <c r="F27" s="20"/>
      <c r="G27" s="2"/>
      <c r="H27" s="2"/>
    </row>
    <row r="28" spans="1:8" x14ac:dyDescent="0.25">
      <c r="A28" s="14">
        <v>15</v>
      </c>
      <c r="B28" s="20"/>
      <c r="C28" s="20"/>
      <c r="D28" s="20"/>
      <c r="E28" s="20"/>
      <c r="F28" s="20"/>
      <c r="G28" s="2"/>
      <c r="H28" s="2"/>
    </row>
    <row r="29" spans="1:8" x14ac:dyDescent="0.25">
      <c r="A29" s="14">
        <v>16</v>
      </c>
      <c r="B29" s="20"/>
      <c r="C29" s="20"/>
      <c r="D29" s="20"/>
      <c r="E29" s="20"/>
      <c r="F29" s="20"/>
      <c r="G29" s="2"/>
      <c r="H29" s="2"/>
    </row>
    <row r="30" spans="1:8" x14ac:dyDescent="0.25">
      <c r="A30" s="14">
        <v>17</v>
      </c>
      <c r="B30" s="20"/>
      <c r="C30" s="20"/>
      <c r="D30" s="20"/>
      <c r="E30" s="20"/>
      <c r="F30" s="20"/>
      <c r="G30" s="2"/>
      <c r="H30" s="2"/>
    </row>
    <row r="31" spans="1:8" x14ac:dyDescent="0.25">
      <c r="A31" s="14">
        <v>18</v>
      </c>
      <c r="B31" s="20"/>
      <c r="C31" s="20"/>
      <c r="D31" s="20"/>
      <c r="E31" s="20"/>
      <c r="F31" s="20"/>
      <c r="G31" s="2"/>
      <c r="H31" s="2"/>
    </row>
    <row r="32" spans="1:8" x14ac:dyDescent="0.25">
      <c r="A32" s="14">
        <v>19</v>
      </c>
      <c r="B32" s="20"/>
      <c r="C32" s="20"/>
      <c r="D32" s="20"/>
      <c r="E32" s="20"/>
      <c r="F32" s="20"/>
      <c r="G32" s="2"/>
      <c r="H32" s="2"/>
    </row>
    <row r="33" spans="1:8" x14ac:dyDescent="0.25">
      <c r="A33" s="14">
        <v>20</v>
      </c>
      <c r="B33" s="20"/>
      <c r="C33" s="20"/>
      <c r="D33" s="20"/>
      <c r="E33" s="20"/>
      <c r="F33" s="20"/>
      <c r="G33" s="2"/>
      <c r="H33" s="2"/>
    </row>
    <row r="34" spans="1:8" x14ac:dyDescent="0.25">
      <c r="A34" s="14">
        <v>21</v>
      </c>
      <c r="B34" s="20"/>
      <c r="C34" s="20"/>
      <c r="D34" s="20"/>
      <c r="E34" s="20"/>
      <c r="F34" s="20"/>
      <c r="G34" s="2"/>
      <c r="H34" s="2"/>
    </row>
    <row r="35" spans="1:8" x14ac:dyDescent="0.25">
      <c r="A35" s="14">
        <v>22</v>
      </c>
      <c r="B35" s="20"/>
      <c r="C35" s="20"/>
      <c r="D35" s="20"/>
      <c r="E35" s="20"/>
      <c r="F35" s="20"/>
      <c r="G35" s="2"/>
      <c r="H35" s="2"/>
    </row>
    <row r="36" spans="1:8" x14ac:dyDescent="0.25">
      <c r="A36" s="14">
        <v>23</v>
      </c>
      <c r="B36" s="20"/>
      <c r="C36" s="20"/>
      <c r="D36" s="20"/>
      <c r="E36" s="20"/>
      <c r="F36" s="20"/>
      <c r="G36" s="2"/>
      <c r="H36" s="2"/>
    </row>
    <row r="37" spans="1:8" x14ac:dyDescent="0.25">
      <c r="A37" s="14">
        <v>24</v>
      </c>
      <c r="B37" s="20"/>
      <c r="C37" s="20"/>
      <c r="D37" s="20"/>
      <c r="E37" s="20"/>
      <c r="F37" s="20"/>
      <c r="G37" s="2"/>
      <c r="H37" s="2"/>
    </row>
    <row r="38" spans="1:8" x14ac:dyDescent="0.25">
      <c r="A38" s="14">
        <v>25</v>
      </c>
      <c r="B38" s="20"/>
      <c r="C38" s="20"/>
      <c r="D38" s="20"/>
      <c r="E38" s="20"/>
      <c r="F38" s="20"/>
      <c r="G38" s="2"/>
      <c r="H38" s="2"/>
    </row>
    <row r="39" spans="1:8" x14ac:dyDescent="0.25">
      <c r="A39" s="14">
        <v>26</v>
      </c>
      <c r="B39" s="20"/>
      <c r="C39" s="20"/>
      <c r="D39" s="20"/>
      <c r="E39" s="20"/>
      <c r="F39" s="20"/>
      <c r="G39" s="2"/>
      <c r="H39" s="2"/>
    </row>
    <row r="40" spans="1:8" x14ac:dyDescent="0.25">
      <c r="A40" s="14">
        <v>27</v>
      </c>
      <c r="B40" s="20"/>
      <c r="C40" s="20"/>
      <c r="D40" s="20"/>
      <c r="E40" s="20"/>
      <c r="F40" s="20"/>
      <c r="G40" s="2"/>
      <c r="H40" s="2"/>
    </row>
    <row r="41" spans="1:8" x14ac:dyDescent="0.25">
      <c r="A41" s="14">
        <v>28</v>
      </c>
      <c r="B41" s="20"/>
      <c r="C41" s="20"/>
      <c r="D41" s="20"/>
      <c r="E41" s="20"/>
      <c r="F41" s="20"/>
      <c r="G41" s="2"/>
      <c r="H41" s="2"/>
    </row>
    <row r="42" spans="1:8" x14ac:dyDescent="0.25">
      <c r="A42" s="14">
        <v>29</v>
      </c>
      <c r="B42" s="20"/>
      <c r="C42" s="20"/>
      <c r="D42" s="20"/>
      <c r="E42" s="20"/>
      <c r="F42" s="20"/>
      <c r="G42" s="2"/>
      <c r="H42" s="2"/>
    </row>
    <row r="43" spans="1:8" x14ac:dyDescent="0.25">
      <c r="A43" s="14">
        <v>30</v>
      </c>
      <c r="B43" s="20"/>
      <c r="C43" s="20"/>
      <c r="D43" s="20"/>
      <c r="E43" s="20"/>
      <c r="F43" s="20"/>
      <c r="G43" s="2"/>
      <c r="H43" s="2"/>
    </row>
    <row r="44" spans="1:8" x14ac:dyDescent="0.25">
      <c r="A44" s="14">
        <v>31</v>
      </c>
      <c r="B44" s="20"/>
      <c r="C44" s="20"/>
      <c r="D44" s="20"/>
      <c r="E44" s="20"/>
      <c r="F44" s="20"/>
      <c r="G44" s="2"/>
      <c r="H44" s="2"/>
    </row>
    <row r="45" spans="1:8" x14ac:dyDescent="0.25">
      <c r="A45" s="14">
        <v>32</v>
      </c>
      <c r="B45" s="20"/>
      <c r="C45" s="20"/>
      <c r="D45" s="20"/>
      <c r="E45" s="20"/>
      <c r="F45" s="20"/>
      <c r="G45" s="2"/>
      <c r="H45" s="2"/>
    </row>
    <row r="46" spans="1:8" x14ac:dyDescent="0.25">
      <c r="A46" s="14">
        <v>33</v>
      </c>
      <c r="B46" s="20"/>
      <c r="C46" s="20"/>
      <c r="D46" s="20"/>
      <c r="E46" s="20"/>
      <c r="F46" s="20"/>
      <c r="G46" s="2"/>
      <c r="H46" s="2"/>
    </row>
    <row r="47" spans="1:8" x14ac:dyDescent="0.25">
      <c r="A47" s="14">
        <v>34</v>
      </c>
      <c r="B47" s="20"/>
      <c r="C47" s="20"/>
      <c r="D47" s="20"/>
      <c r="E47" s="20"/>
      <c r="F47" s="20"/>
      <c r="G47" s="2"/>
      <c r="H47" s="2"/>
    </row>
    <row r="48" spans="1:8" x14ac:dyDescent="0.25">
      <c r="A48" s="14">
        <v>35</v>
      </c>
      <c r="B48" s="20"/>
      <c r="C48" s="20"/>
      <c r="D48" s="20"/>
      <c r="E48" s="20"/>
      <c r="F48" s="20"/>
      <c r="G48" s="2"/>
      <c r="H48" s="2"/>
    </row>
    <row r="49" spans="1:8" x14ac:dyDescent="0.25">
      <c r="A49" s="14">
        <v>36</v>
      </c>
      <c r="B49" s="20"/>
      <c r="C49" s="20"/>
      <c r="D49" s="20"/>
      <c r="E49" s="20"/>
      <c r="F49" s="20"/>
      <c r="G49" s="2"/>
      <c r="H49" s="2"/>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Enunciados</vt:lpstr>
      <vt:lpstr>Catálogo</vt:lpstr>
      <vt:lpstr>Ventas</vt:lpstr>
      <vt:lpstr>E2_Resumen</vt:lpstr>
      <vt:lpstr>E3_Comisiones</vt:lpstr>
      <vt:lpstr>Empleados</vt:lpstr>
      <vt:lpstr>Clientes</vt:lpstr>
      <vt:lpstr>E6_Ranking</vt:lpstr>
      <vt:lpstr>Festivos</vt:lpstr>
      <vt:lpstr>Pedidos</vt:lpstr>
      <vt:lpstr>E9_Panel</vt:lpstr>
      <vt:lpstr>E10_Credito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ESTUDIANTES</cp:lastModifiedBy>
  <dcterms:created xsi:type="dcterms:W3CDTF">2026-09-26T14:54:13Z</dcterms:created>
  <dcterms:modified xsi:type="dcterms:W3CDTF">2026-09-26T19:06:56Z</dcterms:modified>
</cp:coreProperties>
</file>